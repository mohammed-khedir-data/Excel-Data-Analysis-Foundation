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Journey\"/>
    </mc:Choice>
  </mc:AlternateContent>
  <xr:revisionPtr revIDLastSave="0" documentId="13_ncr:1_{7D2B3A70-0529-481F-95E0-E6CC96E72CAA}" xr6:coauthVersionLast="47" xr6:coauthVersionMax="47" xr10:uidLastSave="{00000000-0000-0000-0000-000000000000}"/>
  <bookViews>
    <workbookView xWindow="-108" yWindow="-108" windowWidth="23256" windowHeight="12456" activeTab="1" xr2:uid="{A1CA02F4-B486-411D-9FB1-503BC4F1B309}"/>
  </bookViews>
  <sheets>
    <sheet name="Sheet1" sheetId="2" r:id="rId1"/>
    <sheet name="Data_Analysis_Foundations_2026" sheetId="1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3" i="1"/>
  <c r="D4" i="1"/>
  <c r="D5" i="1"/>
  <c r="D6" i="1"/>
  <c r="B3" i="1"/>
  <c r="B4" i="1"/>
  <c r="B5" i="1"/>
  <c r="B6" i="1"/>
  <c r="D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2" authorId="0" shapeId="0" xr:uid="{293E63AC-4CBD-4DFB-A16A-A4754278BA7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Calculation Logic: Applied a tiered commission structure. 10% for high-performance (&gt;10k), 5% for mid-range (5k-10k), and 0% for below threshold.</t>
        </r>
      </text>
    </comment>
    <comment ref="D2" authorId="0" shapeId="0" xr:uid="{C184F0AD-B521-4ECE-9B71-6BECD6DE59E8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"Standardized name format by removing extra spaces and correcting capitalization."</t>
        </r>
      </text>
    </comment>
  </commentList>
</comments>
</file>

<file path=xl/sharedStrings.xml><?xml version="1.0" encoding="utf-8"?>
<sst xmlns="http://schemas.openxmlformats.org/spreadsheetml/2006/main" count="22" uniqueCount="17">
  <si>
    <t>sales amount</t>
  </si>
  <si>
    <t>commission</t>
  </si>
  <si>
    <t xml:space="preserve">name </t>
  </si>
  <si>
    <t>"mohammed KHEDIR         "</t>
  </si>
  <si>
    <t>" sALAH eL-din "</t>
  </si>
  <si>
    <t>Grand Total</t>
  </si>
  <si>
    <t>Row Labels</t>
  </si>
  <si>
    <t>Sum of commission</t>
  </si>
  <si>
    <t xml:space="preserve">ahmed </t>
  </si>
  <si>
    <t>khalid</t>
  </si>
  <si>
    <t>mustafa</t>
  </si>
  <si>
    <t>name</t>
  </si>
  <si>
    <t>id number</t>
  </si>
  <si>
    <t>bakhet</t>
  </si>
  <si>
    <t xml:space="preserve">sami </t>
  </si>
  <si>
    <t>jalal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</si>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</sst>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 applyAlignment="1">
      <alignment horizontal="center"/>
    </xf>
    <xf numFmtId="44" fontId="6" fillId="0" borderId="0" xfId="1" applyFont="1" applyAlignment="1">
      <alignment horizontal="center"/>
    </xf>
    <xf numFmtId="44" fontId="0" fillId="0" borderId="0" xfId="1" applyFont="1" applyAlignment="1"/>
    <xf numFmtId="44" fontId="1" fillId="0" borderId="0" xfId="1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[Data_Analysis_Foundations_2026.xlsx]Sheet1!PivotTable1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Commission Distribution per Employee - Q1 2026"</a:t>
            </a:r>
            <a:r>
              <a:rPr lang="en-US"/>
              <a:t>.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" sALAH eL-din "</c:v>
                </c:pt>
                <c:pt idx="1">
                  <c:v>"mohammed KHEDIR         "</c:v>
                </c:pt>
                <c:pt idx="2">
                  <c:v>ahmed </c:v>
                </c:pt>
                <c:pt idx="3">
                  <c:v>khalid</c:v>
                </c:pt>
                <c:pt idx="4">
                  <c:v>mustafa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0</c:v>
                </c:pt>
                <c:pt idx="1">
                  <c:v>1200</c:v>
                </c:pt>
                <c:pt idx="2">
                  <c:v>500</c:v>
                </c:pt>
                <c:pt idx="3">
                  <c:v>350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F-4738-9C38-0EFEDEC84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275887"/>
        <c:axId val="1233276719"/>
      </c:barChart>
      <c:catAx>
        <c:axId val="123327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76719"/>
        <c:crosses val="autoZero"/>
        <c:auto val="1"/>
        <c:lblAlgn val="ctr"/>
        <c:lblOffset val="100"/>
        <c:noMultiLvlLbl val="0"/>
      </c:catAx>
      <c:valAx>
        <c:axId val="12332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7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121920</xdr:rowOff>
    </xdr:from>
    <xdr:to>
      <xdr:col>9</xdr:col>
      <xdr:colOff>0</xdr:colOff>
      <xdr:row>15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10DFE2-51A2-4B41-B3A2-D96E79D14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75.089951273148" createdVersion="7" refreshedVersion="7" minRefreshableVersion="3" recordCount="5" xr:uid="{2CAFDA21-6D5F-4D1A-9BBA-327D27BA3F49}">
  <cacheSource type="worksheet">
    <worksheetSource ref="A1:C6" sheet="Data_Analysis_Foundations_2026"/>
  </cacheSource>
  <cacheFields count="3">
    <cacheField name="sales amount" numFmtId="44">
      <sharedItems containsSemiMixedTypes="0" containsString="0" containsNumber="1" containsInteger="1" minValue="3000" maxValue="12000"/>
    </cacheField>
    <cacheField name="commission" numFmtId="44">
      <sharedItems containsSemiMixedTypes="0" containsString="0" containsNumber="1" containsInteger="1" minValue="0" maxValue="1200"/>
    </cacheField>
    <cacheField name="name " numFmtId="44">
      <sharedItems containsBlank="1" count="6">
        <s v="&quot;mohammed KHEDIR         &quot;"/>
        <s v="ahmed "/>
        <s v="khalid"/>
        <s v="&quot; sALAH eL-din &quot;"/>
        <s v="mustafa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2000"/>
    <n v="1200"/>
    <x v="0"/>
  </r>
  <r>
    <n v="10000"/>
    <n v="500"/>
    <x v="1"/>
  </r>
  <r>
    <n v="7000"/>
    <n v="350"/>
    <x v="2"/>
  </r>
  <r>
    <n v="3000"/>
    <n v="0"/>
    <x v="3"/>
  </r>
  <r>
    <n v="5000"/>
    <n v="25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09B32-C544-4978-90DE-8B72EBED11AB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3">
    <pivotField numFmtId="44" showAll="0"/>
    <pivotField dataField="1" numFmtId="44" showAll="0"/>
    <pivotField axis="axisRow" showAll="0">
      <items count="7">
        <item x="3"/>
        <item x="0"/>
        <item m="1" x="5"/>
        <item x="1"/>
        <item x="2"/>
        <item x="4"/>
        <item t="default"/>
      </items>
    </pivotField>
  </pivotFields>
  <rowFields count="1">
    <field x="2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commission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306E-08B5-4147-B6BB-9CA70D7F5218}">
  <dimension ref="A3:B9"/>
  <sheetViews>
    <sheetView workbookViewId="0">
      <selection activeCell="K10" sqref="K10"/>
    </sheetView>
  </sheetViews>
  <sheetFormatPr defaultRowHeight="14.4"/>
  <cols>
    <col min="1" max="1" width="23.21875" bestFit="1" customWidth="1"/>
    <col min="2" max="2" width="17.6640625" bestFit="1" customWidth="1"/>
    <col min="3" max="5" width="8.88671875" bestFit="1" customWidth="1"/>
    <col min="6" max="6" width="10.44140625" bestFit="1" customWidth="1"/>
    <col min="7" max="7" width="12.109375" bestFit="1" customWidth="1"/>
  </cols>
  <sheetData>
    <row r="3" spans="1:2">
      <c r="A3" s="5" t="s">
        <v>6</v>
      </c>
      <c r="B3" t="s">
        <v>7</v>
      </c>
    </row>
    <row r="4" spans="1:2">
      <c r="A4" s="6" t="s">
        <v>4</v>
      </c>
      <c r="B4" s="7">
        <v>0</v>
      </c>
    </row>
    <row r="5" spans="1:2">
      <c r="A5" s="6" t="s">
        <v>3</v>
      </c>
      <c r="B5" s="7">
        <v>1200</v>
      </c>
    </row>
    <row r="6" spans="1:2">
      <c r="A6" s="6" t="s">
        <v>8</v>
      </c>
      <c r="B6" s="7">
        <v>500</v>
      </c>
    </row>
    <row r="7" spans="1:2">
      <c r="A7" s="6" t="s">
        <v>9</v>
      </c>
      <c r="B7" s="7">
        <v>350</v>
      </c>
    </row>
    <row r="8" spans="1:2">
      <c r="A8" s="6" t="s">
        <v>10</v>
      </c>
      <c r="B8" s="7">
        <v>250</v>
      </c>
    </row>
    <row r="9" spans="1:2">
      <c r="A9" s="6" t="s">
        <v>5</v>
      </c>
      <c r="B9" s="7">
        <v>2300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0EF6-EA64-4BD5-A8B4-B0983CB6BC7C}">
  <dimension ref="A1:G6"/>
  <sheetViews>
    <sheetView tabSelected="1" workbookViewId="0">
      <selection activeCell="E2" sqref="E2"/>
    </sheetView>
  </sheetViews>
  <sheetFormatPr defaultRowHeight="14.4"/>
  <cols>
    <col min="1" max="1" width="11.77734375" style="1" bestFit="1" customWidth="1"/>
    <col min="2" max="2" width="51.88671875" style="3" bestFit="1" customWidth="1"/>
    <col min="3" max="3" width="23.21875" style="1" bestFit="1" customWidth="1"/>
    <col min="4" max="4" width="25.6640625" style="1" bestFit="1" customWidth="1"/>
    <col min="5" max="16384" width="8.88671875" style="1"/>
  </cols>
  <sheetData>
    <row r="1" spans="1:7">
      <c r="A1" s="1" t="s">
        <v>0</v>
      </c>
      <c r="B1" s="3" t="s">
        <v>1</v>
      </c>
      <c r="C1" s="1" t="s">
        <v>2</v>
      </c>
      <c r="F1" s="1" t="s">
        <v>11</v>
      </c>
      <c r="G1" s="1" t="s">
        <v>12</v>
      </c>
    </row>
    <row r="2" spans="1:7">
      <c r="A2" s="1">
        <v>12000</v>
      </c>
      <c r="B2" s="4">
        <f>IF(A2&gt;10000, A2*10%, IF(A2&gt;=5000, A2*5%, 0))</f>
        <v>1200</v>
      </c>
      <c r="C2" s="1" t="s">
        <v>3</v>
      </c>
      <c r="D2" s="1" t="str">
        <f>PROPER(TRIM(C2))</f>
        <v>"Mohammed Khedir "</v>
      </c>
      <c r="E2" s="8" t="e">
        <f>VLOOKUP(D2, F:G, 2, FALSE)</f>
        <v>#N/A</v>
      </c>
      <c r="F2" s="1" t="s">
        <v>16</v>
      </c>
      <c r="G2" s="1">
        <v>1</v>
      </c>
    </row>
    <row r="3" spans="1:7">
      <c r="A3" s="1">
        <v>10000</v>
      </c>
      <c r="B3" s="4">
        <f t="shared" ref="B3:B6" si="0">IF(A3&gt;10000, A3*10%, IF(A3&gt;=5000, A3*5%, 0))</f>
        <v>500</v>
      </c>
      <c r="C3" s="1" t="s">
        <v>8</v>
      </c>
      <c r="D3" s="1" t="str">
        <f t="shared" ref="D3:D6" si="1">PROPER(TRIM(C3))</f>
        <v>Ahmed</v>
      </c>
      <c r="E3" s="8">
        <f t="shared" ref="E3:E6" si="2">VLOOKUP(D3, F:G, 2, FALSE)</f>
        <v>1</v>
      </c>
      <c r="F3" s="1" t="s">
        <v>13</v>
      </c>
      <c r="G3" s="1">
        <v>2</v>
      </c>
    </row>
    <row r="4" spans="1:7">
      <c r="A4" s="1">
        <v>7000</v>
      </c>
      <c r="B4" s="4">
        <f t="shared" si="0"/>
        <v>350</v>
      </c>
      <c r="C4" s="1" t="s">
        <v>9</v>
      </c>
      <c r="D4" s="1" t="str">
        <f t="shared" si="1"/>
        <v>Khalid</v>
      </c>
      <c r="E4" s="8" t="e">
        <f t="shared" si="2"/>
        <v>#N/A</v>
      </c>
      <c r="F4" s="1" t="s">
        <v>14</v>
      </c>
      <c r="G4" s="1">
        <v>3</v>
      </c>
    </row>
    <row r="5" spans="1:7">
      <c r="A5" s="1">
        <v>3000</v>
      </c>
      <c r="B5" s="4">
        <f t="shared" si="0"/>
        <v>0</v>
      </c>
      <c r="C5" s="2" t="s">
        <v>4</v>
      </c>
      <c r="D5" s="1" t="str">
        <f t="shared" si="1"/>
        <v>" Salah El-Din "</v>
      </c>
      <c r="E5" s="8" t="e">
        <f t="shared" si="2"/>
        <v>#N/A</v>
      </c>
      <c r="F5" s="1" t="s">
        <v>15</v>
      </c>
      <c r="G5" s="1">
        <v>4</v>
      </c>
    </row>
    <row r="6" spans="1:7">
      <c r="A6" s="1">
        <v>5000</v>
      </c>
      <c r="B6" s="4">
        <f t="shared" si="0"/>
        <v>250</v>
      </c>
      <c r="C6" s="1" t="s">
        <v>10</v>
      </c>
      <c r="D6" s="1" t="str">
        <f t="shared" si="1"/>
        <v>Mustafa</v>
      </c>
      <c r="E6" s="8" t="e">
        <f t="shared" si="2"/>
        <v>#N/A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Data_Analysis_Foundations_2026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khedir</dc:creator>
  <cp:lastModifiedBy>mohammed khedir</cp:lastModifiedBy>
  <dcterms:created xsi:type="dcterms:W3CDTF">2026-02-20T08:15:22Z</dcterms:created>
  <dcterms:modified xsi:type="dcterms:W3CDTF">2026-02-22T00:33:51Z</dcterms:modified>
</cp:coreProperties>
</file>