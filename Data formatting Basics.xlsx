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omments1.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Data Journey\"/>
    </mc:Choice>
  </mc:AlternateContent>
  <xr:revisionPtr revIDLastSave="0" documentId="13_ncr:1_{F02D3173-E18F-4F1B-A6BD-F5CD9F8E20B8}" xr6:coauthVersionLast="47" xr6:coauthVersionMax="47" xr10:uidLastSave="{00000000-0000-0000-0000-000000000000}"/>
  <bookViews>
    <workbookView xWindow="-108" yWindow="-108" windowWidth="23256" windowHeight="12456" tabRatio="500" activeTab="2" xr2:uid="{00000000-000D-0000-FFFF-FFFF00000000}"/>
  </bookViews>
  <sheets>
    <sheet name="Sheet1" sheetId="1" r:id="rId1"/>
    <sheet name="Sheet2" sheetId="3" r:id="rId2"/>
    <sheet name="Nile_Sale" sheetId="2" r:id="rId3"/>
  </sheets>
  <definedNames>
    <definedName name="_xlnm.Print_Area" localSheetId="1">Sheet2!$A$10:$N$24</definedName>
    <definedName name="Slicer_اسم_العميل">#N/A</definedName>
    <definedName name="Slicer_اسم_العميل1">#N/A</definedName>
    <definedName name="Slicer_المنتج">#N/A</definedName>
    <definedName name="Slicer_المنتج1">#N/A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 xmlns:xlwcv="http://schemas.microsoft.com/office/spreadsheetml/2024/workbookCompatibilityVersion" uri="{D14903EA-33C4-47F7-8F05-3474C54BE107}">
      <xlwcv:version setVersion="1"/>
    </ext>
    <ext xmlns:loext="http://schemas.libreoffice.org/" uri="{7626C862-2A13-11E5-B345-FEFF819CDC9F}">
      <loext:extCalcPr stringRefSyntax="CalcA1"/>
    </ext>
  </extLst>
</workbook>
</file>

<file path=xl/calcChain.xml><?xml version="1.0" encoding="utf-8"?>
<calcChain xmlns="http://schemas.openxmlformats.org/spreadsheetml/2006/main">
  <c r="G51" i="2" l="1"/>
  <c r="H51" i="2" s="1"/>
  <c r="F38" i="2"/>
  <c r="F39" i="2"/>
  <c r="F40" i="2"/>
  <c r="F41" i="2"/>
  <c r="F42" i="2"/>
  <c r="G42" i="2" s="1"/>
  <c r="H42" i="2" s="1"/>
  <c r="F43" i="2"/>
  <c r="G43" i="2" s="1"/>
  <c r="H43" i="2" s="1"/>
  <c r="F44" i="2"/>
  <c r="F45" i="2"/>
  <c r="F46" i="2"/>
  <c r="F47" i="2"/>
  <c r="F48" i="2"/>
  <c r="G48" i="2" s="1"/>
  <c r="F49" i="2"/>
  <c r="G49" i="2" s="1"/>
  <c r="F50" i="2"/>
  <c r="G50" i="2" s="1"/>
  <c r="G38" i="2"/>
  <c r="H38" i="2" s="1"/>
  <c r="G39" i="2"/>
  <c r="H39" i="2" s="1"/>
  <c r="G40" i="2"/>
  <c r="H40" i="2" s="1"/>
  <c r="G41" i="2"/>
  <c r="H41" i="2"/>
  <c r="F20" i="2"/>
  <c r="F21" i="2"/>
  <c r="F22" i="2"/>
  <c r="F23" i="2"/>
  <c r="F24" i="2"/>
  <c r="F25" i="2"/>
  <c r="F26" i="2"/>
  <c r="F27" i="2"/>
  <c r="G27" i="2" s="1"/>
  <c r="F28" i="2"/>
  <c r="F29" i="2"/>
  <c r="F30" i="2"/>
  <c r="F31" i="2"/>
  <c r="F32" i="2"/>
  <c r="H32" i="2" s="1"/>
  <c r="F33" i="2"/>
  <c r="H33" i="2" s="1"/>
  <c r="F34" i="2"/>
  <c r="G34" i="2" s="1"/>
  <c r="F35" i="2"/>
  <c r="G35" i="2" s="1"/>
  <c r="F36" i="2"/>
  <c r="F37" i="2"/>
  <c r="G20" i="2"/>
  <c r="G21" i="2"/>
  <c r="G22" i="2"/>
  <c r="G23" i="2"/>
  <c r="G24" i="2"/>
  <c r="G25" i="2"/>
  <c r="G26" i="2"/>
  <c r="G28" i="2"/>
  <c r="G29" i="2"/>
  <c r="G30" i="2"/>
  <c r="G31" i="2"/>
  <c r="G32" i="2"/>
  <c r="G33" i="2"/>
  <c r="G36" i="2"/>
  <c r="G37" i="2"/>
  <c r="H20" i="2"/>
  <c r="H21" i="2"/>
  <c r="H22" i="2"/>
  <c r="H23" i="2"/>
  <c r="H24" i="2"/>
  <c r="H25" i="2"/>
  <c r="H26" i="2"/>
  <c r="H28" i="2"/>
  <c r="H29" i="2"/>
  <c r="H30" i="2"/>
  <c r="H31" i="2"/>
  <c r="H36" i="2"/>
  <c r="H37" i="2"/>
  <c r="F11" i="2"/>
  <c r="F12" i="2"/>
  <c r="F13" i="2"/>
  <c r="F14" i="2"/>
  <c r="F15" i="2"/>
  <c r="H15" i="2" s="1"/>
  <c r="F16" i="2"/>
  <c r="F17" i="2"/>
  <c r="F18" i="2"/>
  <c r="G18" i="2" s="1"/>
  <c r="H18" i="2" s="1"/>
  <c r="F19" i="2"/>
  <c r="G19" i="2" s="1"/>
  <c r="H19" i="2" s="1"/>
  <c r="G11" i="2"/>
  <c r="H11" i="2" s="1"/>
  <c r="G12" i="2"/>
  <c r="H12" i="2" s="1"/>
  <c r="G13" i="2"/>
  <c r="H13" i="2" s="1"/>
  <c r="G14" i="2"/>
  <c r="H14" i="2" s="1"/>
  <c r="G15" i="2"/>
  <c r="G17" i="2"/>
  <c r="H17" i="2" s="1"/>
  <c r="F10" i="2"/>
  <c r="G10" i="2" s="1"/>
  <c r="F7" i="2"/>
  <c r="G7" i="2" s="1"/>
  <c r="H7" i="2" s="1"/>
  <c r="F8" i="2"/>
  <c r="G8" i="2" s="1"/>
  <c r="F9" i="2"/>
  <c r="G9" i="2" s="1"/>
  <c r="F3" i="2"/>
  <c r="G3" i="2" s="1"/>
  <c r="F4" i="2"/>
  <c r="G4" i="2" s="1"/>
  <c r="F5" i="2"/>
  <c r="G5" i="2" s="1"/>
  <c r="F6" i="2"/>
  <c r="G6" i="2" s="1"/>
  <c r="F2" i="2"/>
  <c r="G2" i="2" s="1"/>
  <c r="B8" i="1"/>
  <c r="B7" i="1"/>
  <c r="G47" i="2" l="1"/>
  <c r="H47" i="2" s="1"/>
  <c r="H49" i="2"/>
  <c r="G46" i="2"/>
  <c r="H46" i="2" s="1"/>
  <c r="H50" i="2"/>
  <c r="H48" i="2"/>
  <c r="G45" i="2"/>
  <c r="H45" i="2" s="1"/>
  <c r="G44" i="2"/>
  <c r="H44" i="2" s="1"/>
  <c r="H27" i="2"/>
  <c r="H35" i="2"/>
  <c r="H34" i="2"/>
  <c r="G16" i="2"/>
  <c r="H16" i="2" s="1"/>
  <c r="H10" i="2"/>
  <c r="H9" i="2"/>
  <c r="H8" i="2"/>
  <c r="H3" i="2"/>
  <c r="H2" i="2"/>
  <c r="H5" i="2"/>
  <c r="H6" i="2"/>
  <c r="H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F1" authorId="0" shapeId="0" xr:uid="{6E12805E-7684-437A-A4E7-AE747AE0358E}">
      <text>
        <r>
          <rPr>
            <b/>
            <sz val="9"/>
            <color indexed="81"/>
            <rFont val="Tahoma"/>
          </rPr>
          <t>HP:</t>
        </r>
        <r>
          <rPr>
            <sz val="9"/>
            <color indexed="81"/>
            <rFont val="Tahoma"/>
          </rPr>
          <t xml:space="preserve">
This report is dynamic; all slicers and charts update automatically as new sales data is entered. No manual adjustment is required</t>
        </r>
      </text>
    </comment>
    <comment ref="C4" authorId="0" shapeId="0" xr:uid="{E4E3C07F-72FD-4B4D-A9CE-20D8BD08E039}">
      <text>
        <r>
          <rPr>
            <b/>
            <sz val="9"/>
            <color indexed="81"/>
            <rFont val="Tahoma"/>
          </rPr>
          <t>HP:</t>
        </r>
        <r>
          <rPr>
            <sz val="9"/>
            <color indexed="81"/>
            <rFont val="Tahoma"/>
          </rPr>
          <t xml:space="preserve">
Updated product nomenclature for consistency using bulk replace</t>
        </r>
      </text>
    </comment>
    <comment ref="O7" authorId="0" shapeId="0" xr:uid="{58192D18-AC85-4B8F-AE23-E2A15D61E256}">
      <text>
        <r>
          <rPr>
            <b/>
            <sz val="9"/>
            <color indexed="81"/>
            <rFont val="Tahoma"/>
          </rPr>
          <t>HP:</t>
        </r>
        <r>
          <rPr>
            <sz val="9"/>
            <color indexed="81"/>
            <rFont val="Tahoma"/>
          </rPr>
          <t xml:space="preserve">
Visual representation of product performance added for the management summary</t>
        </r>
      </text>
    </comment>
    <comment ref="C13" authorId="0" shapeId="0" xr:uid="{69A5881D-F411-4A5C-BCBE-C007B4C63D33}">
      <text>
        <r>
          <rPr>
            <b/>
            <sz val="9"/>
            <color indexed="81"/>
            <rFont val="Tahoma"/>
          </rPr>
          <t>HP:</t>
        </r>
        <r>
          <rPr>
            <sz val="9"/>
            <color indexed="81"/>
            <rFont val="Tahoma"/>
          </rPr>
          <t xml:space="preserve">
Updated product nomenclature for consistency using bulk replace</t>
        </r>
      </text>
    </comment>
    <comment ref="C22" authorId="0" shapeId="0" xr:uid="{34060935-F7A2-4784-BC4C-A7631CB7D4EE}">
      <text>
        <r>
          <rPr>
            <b/>
            <sz val="9"/>
            <color indexed="81"/>
            <rFont val="Tahoma"/>
          </rPr>
          <t>HP:</t>
        </r>
        <r>
          <rPr>
            <sz val="9"/>
            <color indexed="81"/>
            <rFont val="Tahoma"/>
          </rPr>
          <t xml:space="preserve">
Updated product nomenclature for consistency using bulk replace</t>
        </r>
      </text>
    </comment>
    <comment ref="C31" authorId="0" shapeId="0" xr:uid="{DD5BBE70-EE84-4943-AC08-AEA3AA332BAE}">
      <text>
        <r>
          <rPr>
            <b/>
            <sz val="9"/>
            <color indexed="81"/>
            <rFont val="Tahoma"/>
          </rPr>
          <t>HP:</t>
        </r>
        <r>
          <rPr>
            <sz val="9"/>
            <color indexed="81"/>
            <rFont val="Tahoma"/>
          </rPr>
          <t xml:space="preserve">
Updated product nomenclature for consistency using bulk replace</t>
        </r>
      </text>
    </comment>
    <comment ref="C44" authorId="0" shapeId="0" xr:uid="{56DD4C53-30F7-4175-867B-AA00D77F7F7F}">
      <text>
        <r>
          <rPr>
            <b/>
            <sz val="9"/>
            <color indexed="81"/>
            <rFont val="Tahoma"/>
          </rPr>
          <t>HP:</t>
        </r>
        <r>
          <rPr>
            <sz val="9"/>
            <color indexed="81"/>
            <rFont val="Tahoma"/>
          </rPr>
          <t xml:space="preserve">
Updated product nomenclature for consistency using bulk replace</t>
        </r>
      </text>
    </comment>
  </commentList>
</comments>
</file>

<file path=xl/sharedStrings.xml><?xml version="1.0" encoding="utf-8"?>
<sst xmlns="http://schemas.openxmlformats.org/spreadsheetml/2006/main" count="138" uniqueCount="32">
  <si>
    <t>success</t>
  </si>
  <si>
    <t>المبلغ</t>
  </si>
  <si>
    <t>fail</t>
  </si>
  <si>
    <t xml:space="preserve">التاريخ </t>
  </si>
  <si>
    <t>اسم العميل</t>
  </si>
  <si>
    <t xml:space="preserve">المنتج </t>
  </si>
  <si>
    <t xml:space="preserve">الكمية </t>
  </si>
  <si>
    <t xml:space="preserve">الاجمالي </t>
  </si>
  <si>
    <t>أحمد</t>
  </si>
  <si>
    <t>محمد</t>
  </si>
  <si>
    <t>علي</t>
  </si>
  <si>
    <t>خالد</t>
  </si>
  <si>
    <t>حامد</t>
  </si>
  <si>
    <t>بسكويت</t>
  </si>
  <si>
    <t>صلصة</t>
  </si>
  <si>
    <t>بن</t>
  </si>
  <si>
    <t>زنجبيل</t>
  </si>
  <si>
    <t>discount</t>
  </si>
  <si>
    <t>Net_Total</t>
  </si>
  <si>
    <t xml:space="preserve">شاي أخضر </t>
  </si>
  <si>
    <t>شاي أخضر</t>
  </si>
  <si>
    <t>السعر</t>
  </si>
  <si>
    <t>عثمان</t>
  </si>
  <si>
    <t xml:space="preserve">امجد </t>
  </si>
  <si>
    <t>سمير</t>
  </si>
  <si>
    <t>ياسر</t>
  </si>
  <si>
    <t>قهوة</t>
  </si>
  <si>
    <t>Row Labels</t>
  </si>
  <si>
    <t>Grand Total</t>
  </si>
  <si>
    <t>Sum of Net_Total</t>
  </si>
  <si>
    <t>انا</t>
  </si>
  <si>
    <t xml:space="preserve">ذهب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</si>
</sst>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x14ac:knownFonts="1">
    <font>
      <sz val="10"/>
      <name val="Arial"/>
      <family val="2"/>
      <charset val="1"/>
    </font>
    <font>
      <b/>
      <sz val="10"/>
      <name val="Arial"/>
      <family val="2"/>
      <charset val="1"/>
    </font>
    <font>
      <sz val="10"/>
      <name val="Arial"/>
      <family val="2"/>
      <charset val="1"/>
    </font>
    <font>
      <b/>
      <sz val="10"/>
      <color theme="2"/>
      <name val="Arial"/>
      <family val="2"/>
    </font>
    <font>
      <sz val="9"/>
      <color indexed="81"/>
      <name val="Tahoma"/>
    </font>
    <font>
      <b/>
      <sz val="9"/>
      <color indexed="81"/>
      <name val="Tahoma"/>
    </font>
    <font>
      <sz val="8"/>
      <name val="Arial"/>
      <family val="2"/>
      <charset val="1"/>
    </font>
  </fonts>
  <fills count="8">
    <fill>
      <patternFill patternType="none"/>
    </fill>
    <fill>
      <patternFill patternType="gray125"/>
    </fill>
    <fill>
      <patternFill patternType="solid">
        <fgColor rgb="FF069A2E"/>
        <bgColor rgb="FF00A933"/>
      </patternFill>
    </fill>
    <fill>
      <patternFill patternType="solid">
        <fgColor rgb="FFFF0000"/>
        <bgColor rgb="FF993300"/>
      </patternFill>
    </fill>
    <fill>
      <patternFill patternType="solid">
        <fgColor rgb="FF00A933"/>
        <bgColor rgb="FF069A2E"/>
      </patternFill>
    </fill>
    <fill>
      <patternFill patternType="solid">
        <fgColor rgb="FFFFFF00"/>
        <bgColor rgb="FFFFFF00"/>
      </patternFill>
    </fill>
    <fill>
      <patternFill patternType="solid">
        <fgColor theme="5" tint="0.59999389629810485"/>
        <bgColor indexed="64"/>
      </patternFill>
    </fill>
    <fill>
      <patternFill patternType="solid">
        <fgColor theme="4" tint="-0.249977111117893"/>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s>
  <cellStyleXfs count="9">
    <xf numFmtId="0" fontId="0" fillId="0" borderId="0"/>
    <xf numFmtId="0" fontId="2" fillId="2" borderId="0" applyBorder="0" applyProtection="0"/>
    <xf numFmtId="0" fontId="2" fillId="3" borderId="0" applyBorder="0" applyProtection="0"/>
    <xf numFmtId="0" fontId="2" fillId="4" borderId="0" applyBorder="0" applyProtection="0"/>
    <xf numFmtId="0" fontId="2" fillId="5" borderId="0" applyBorder="0" applyProtection="0"/>
    <xf numFmtId="0" fontId="2" fillId="3" borderId="0" applyBorder="0" applyProtection="0"/>
    <xf numFmtId="0" fontId="2" fillId="3" borderId="0" applyBorder="0" applyProtection="0"/>
    <xf numFmtId="0" fontId="2" fillId="4" borderId="0" applyBorder="0" applyProtection="0"/>
    <xf numFmtId="44" fontId="2" fillId="0" borderId="0" applyFont="0" applyFill="0" applyBorder="0" applyAlignment="0" applyProtection="0"/>
  </cellStyleXfs>
  <cellXfs count="19">
    <xf numFmtId="0" fontId="0" fillId="0" borderId="0" xfId="0"/>
    <xf numFmtId="0" fontId="1" fillId="0" borderId="0" xfId="0" applyFont="1"/>
    <xf numFmtId="0" fontId="3" fillId="7" borderId="3" xfId="0" applyFont="1" applyFill="1" applyBorder="1" applyAlignment="1">
      <alignment horizontal="center" vertical="center"/>
    </xf>
    <xf numFmtId="0" fontId="3" fillId="7" borderId="1" xfId="0" applyFont="1" applyFill="1" applyBorder="1" applyAlignment="1">
      <alignment horizontal="center" vertical="center"/>
    </xf>
    <xf numFmtId="14" fontId="3" fillId="6" borderId="3" xfId="0" applyNumberFormat="1" applyFont="1" applyFill="1" applyBorder="1" applyAlignment="1">
      <alignment horizontal="center" vertical="center"/>
    </xf>
    <xf numFmtId="0" fontId="3" fillId="6" borderId="1" xfId="0" applyFont="1" applyFill="1" applyBorder="1" applyAlignment="1">
      <alignment horizontal="center" vertical="center"/>
    </xf>
    <xf numFmtId="44" fontId="3" fillId="6" borderId="1" xfId="8" applyFont="1" applyFill="1" applyBorder="1" applyAlignment="1">
      <alignment horizontal="center" vertical="center"/>
    </xf>
    <xf numFmtId="0" fontId="3" fillId="6" borderId="2" xfId="0" applyFont="1" applyFill="1" applyBorder="1" applyAlignment="1">
      <alignment horizontal="center" vertical="center"/>
    </xf>
    <xf numFmtId="44" fontId="3" fillId="7" borderId="1" xfId="0" applyNumberFormat="1" applyFont="1" applyFill="1" applyBorder="1" applyAlignment="1">
      <alignment horizontal="center" vertical="center"/>
    </xf>
    <xf numFmtId="44" fontId="3" fillId="7" borderId="2" xfId="0" applyNumberFormat="1" applyFont="1" applyFill="1" applyBorder="1" applyAlignment="1">
      <alignment horizontal="center" vertical="center"/>
    </xf>
    <xf numFmtId="44" fontId="0" fillId="0" borderId="0" xfId="8" applyFont="1" applyAlignment="1">
      <alignment horizontal="center" vertical="center"/>
    </xf>
    <xf numFmtId="44" fontId="3" fillId="6" borderId="4" xfId="8" applyFont="1" applyFill="1" applyBorder="1" applyAlignment="1">
      <alignment horizontal="center" vertical="center"/>
    </xf>
    <xf numFmtId="44" fontId="3" fillId="6" borderId="5" xfId="8" applyFont="1" applyFill="1" applyBorder="1" applyAlignment="1">
      <alignment horizontal="center" vertical="center"/>
    </xf>
    <xf numFmtId="0" fontId="3" fillId="6" borderId="5" xfId="0" applyFont="1" applyFill="1" applyBorder="1" applyAlignment="1">
      <alignment horizontal="center" vertical="center"/>
    </xf>
    <xf numFmtId="44" fontId="0" fillId="0" borderId="0" xfId="8" applyFont="1" applyBorder="1" applyAlignment="1">
      <alignment horizontal="center" vertical="center"/>
    </xf>
    <xf numFmtId="14" fontId="3" fillId="6" borderId="6" xfId="0" applyNumberFormat="1" applyFont="1" applyFill="1" applyBorder="1" applyAlignment="1">
      <alignment horizontal="center" vertical="center"/>
    </xf>
    <xf numFmtId="0" fontId="0" fillId="0" borderId="0" xfId="0" pivotButton="1"/>
    <xf numFmtId="0" fontId="0" fillId="0" borderId="0" xfId="0" applyAlignment="1">
      <alignment horizontal="left" indent="1"/>
    </xf>
    <xf numFmtId="0" fontId="0" fillId="0" borderId="0" xfId="0" applyAlignment="1">
      <alignment horizontal="left"/>
    </xf>
  </cellXfs>
  <cellStyles count="9">
    <cellStyle name="Currency" xfId="8" builtinId="4"/>
    <cellStyle name="Normal" xfId="0" builtinId="0"/>
    <cellStyle name="Untitled1" xfId="1" xr:uid="{00000000-0005-0000-0000-000006000000}"/>
    <cellStyle name="Untitled2" xfId="2" xr:uid="{00000000-0005-0000-0000-000007000000}"/>
    <cellStyle name="Untitled3" xfId="3" xr:uid="{00000000-0005-0000-0000-000008000000}"/>
    <cellStyle name="Untitled4" xfId="4" xr:uid="{00000000-0005-0000-0000-000009000000}"/>
    <cellStyle name="Untitled5" xfId="5" xr:uid="{00000000-0005-0000-0000-00000A000000}"/>
    <cellStyle name="Untitled6" xfId="6" xr:uid="{00000000-0005-0000-0000-00000B000000}"/>
    <cellStyle name="Untitled7" xfId="7" xr:uid="{00000000-0005-0000-0000-00000C000000}"/>
  </cellStyles>
  <dxfs count="26">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numFmt numFmtId="34" formatCode="_(&quot;$&quot;* #,##0.00_);_(&quot;$&quot;* \(#,##0.00\);_(&quot;$&quot;* &quot;-&quot;??_);_(@_)"/>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right style="thin">
          <color auto="1"/>
        </right>
        <top/>
        <bottom/>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left/>
        <right style="thin">
          <color auto="1"/>
        </right>
        <top style="thin">
          <color auto="1"/>
        </top>
        <bottom style="thin">
          <color auto="1"/>
        </bottom>
      </border>
    </dxf>
    <dxf>
      <alignment horizontal="center" vertical="center" textRotation="0" wrapText="0" indent="0" justifyLastLine="0" shrinkToFit="0" readingOrder="0"/>
    </dxf>
    <dxf>
      <border outline="0">
        <left style="thin">
          <color auto="1"/>
        </left>
      </border>
    </dxf>
    <dxf>
      <font>
        <b/>
        <i val="0"/>
        <strike val="0"/>
        <condense val="0"/>
        <extend val="0"/>
        <outline val="0"/>
        <shadow val="0"/>
        <u val="none"/>
        <vertAlign val="baseline"/>
        <sz val="10"/>
        <color theme="2"/>
        <name val="Arial"/>
        <family val="2"/>
        <scheme val="none"/>
      </font>
      <fill>
        <patternFill patternType="solid">
          <fgColor indexed="64"/>
          <bgColor theme="5" tint="0.59999389629810485"/>
        </patternFill>
      </fill>
      <alignment horizontal="center" vertical="center" textRotation="0" wrapText="0" indent="0" justifyLastLine="0" shrinkToFit="0" readingOrder="0"/>
    </dxf>
    <dxf>
      <font>
        <b/>
        <i val="0"/>
        <strike val="0"/>
        <condense val="0"/>
        <extend val="0"/>
        <outline val="0"/>
        <shadow val="0"/>
        <u val="none"/>
        <vertAlign val="baseline"/>
        <sz val="10"/>
        <color theme="2"/>
        <name val="Arial"/>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outline="0">
        <left style="thin">
          <color auto="1"/>
        </left>
        <right style="thin">
          <color auto="1"/>
        </right>
        <top/>
        <bottom/>
      </border>
    </dxf>
    <dxf>
      <font>
        <name val="Arial"/>
        <family val="2"/>
        <charset val="1"/>
      </font>
      <fill>
        <patternFill>
          <bgColor rgb="FF00A933"/>
        </patternFill>
      </fill>
    </dxf>
    <dxf>
      <font>
        <name val="Arial"/>
        <family val="2"/>
        <charset val="1"/>
      </font>
      <fill>
        <patternFill>
          <bgColor rgb="FFFF0000"/>
        </patternFill>
      </fill>
    </dxf>
    <dxf>
      <font>
        <name val="Arial"/>
        <family val="2"/>
        <charset val="1"/>
      </font>
      <fill>
        <patternFill>
          <bgColor rgb="FFFF0000"/>
        </patternFill>
      </fill>
    </dxf>
    <dxf>
      <font>
        <name val="Arial"/>
        <family val="2"/>
        <charset val="1"/>
      </font>
      <fill>
        <patternFill>
          <bgColor rgb="FFFFFF00"/>
        </patternFill>
      </fill>
    </dxf>
    <dxf>
      <fill>
        <patternFill>
          <bgColor rgb="FF00A933"/>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69A2E"/>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A933"/>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formatting Basics.xlsx]Sheet2!PivotTable1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Sheet2!$A$4:$A$22</c:f>
              <c:multiLvlStrCache>
                <c:ptCount val="10"/>
                <c:lvl>
                  <c:pt idx="0">
                    <c:v>أحمد</c:v>
                  </c:pt>
                  <c:pt idx="1">
                    <c:v>خالد</c:v>
                  </c:pt>
                  <c:pt idx="2">
                    <c:v>حامد</c:v>
                  </c:pt>
                  <c:pt idx="3">
                    <c:v>امجد </c:v>
                  </c:pt>
                  <c:pt idx="4">
                    <c:v>سمير</c:v>
                  </c:pt>
                  <c:pt idx="5">
                    <c:v>عثمان</c:v>
                  </c:pt>
                  <c:pt idx="6">
                    <c:v>علي</c:v>
                  </c:pt>
                  <c:pt idx="7">
                    <c:v>محمد</c:v>
                  </c:pt>
                  <c:pt idx="8">
                    <c:v>ياسر</c:v>
                  </c:pt>
                  <c:pt idx="9">
                    <c:v>انا</c:v>
                  </c:pt>
                </c:lvl>
                <c:lvl>
                  <c:pt idx="0">
                    <c:v>بسكويت</c:v>
                  </c:pt>
                  <c:pt idx="1">
                    <c:v>بن</c:v>
                  </c:pt>
                  <c:pt idx="2">
                    <c:v>زنجبيل</c:v>
                  </c:pt>
                  <c:pt idx="3">
                    <c:v>شاي أخضر</c:v>
                  </c:pt>
                  <c:pt idx="6">
                    <c:v>شاي أخضر </c:v>
                  </c:pt>
                  <c:pt idx="7">
                    <c:v>صلصة</c:v>
                  </c:pt>
                  <c:pt idx="8">
                    <c:v>قهوة</c:v>
                  </c:pt>
                  <c:pt idx="9">
                    <c:v>ذهب </c:v>
                  </c:pt>
                </c:lvl>
              </c:multiLvlStrCache>
            </c:multiLvlStrRef>
          </c:cat>
          <c:val>
            <c:numRef>
              <c:f>Sheet2!$B$4:$B$22</c:f>
              <c:numCache>
                <c:formatCode>General</c:formatCode>
                <c:ptCount val="10"/>
                <c:pt idx="0">
                  <c:v>450</c:v>
                </c:pt>
                <c:pt idx="1">
                  <c:v>450</c:v>
                </c:pt>
                <c:pt idx="2">
                  <c:v>292.5</c:v>
                </c:pt>
                <c:pt idx="3">
                  <c:v>2592</c:v>
                </c:pt>
                <c:pt idx="4">
                  <c:v>1890</c:v>
                </c:pt>
                <c:pt idx="5">
                  <c:v>2430</c:v>
                </c:pt>
                <c:pt idx="6">
                  <c:v>1125</c:v>
                </c:pt>
                <c:pt idx="7">
                  <c:v>450</c:v>
                </c:pt>
                <c:pt idx="8">
                  <c:v>540</c:v>
                </c:pt>
                <c:pt idx="9">
                  <c:v>4500</c:v>
                </c:pt>
              </c:numCache>
            </c:numRef>
          </c:val>
          <c:extLst>
            <c:ext xmlns:c16="http://schemas.microsoft.com/office/drawing/2014/chart" uri="{C3380CC4-5D6E-409C-BE32-E72D297353CC}">
              <c16:uniqueId val="{00000000-51B1-4465-BEE4-B7377F96D5B8}"/>
            </c:ext>
          </c:extLst>
        </c:ser>
        <c:dLbls>
          <c:showLegendKey val="0"/>
          <c:showVal val="0"/>
          <c:showCatName val="0"/>
          <c:showSerName val="0"/>
          <c:showPercent val="0"/>
          <c:showBubbleSize val="0"/>
        </c:dLbls>
        <c:gapWidth val="219"/>
        <c:overlap val="-27"/>
        <c:axId val="771178927"/>
        <c:axId val="771179343"/>
      </c:barChart>
      <c:catAx>
        <c:axId val="77117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179343"/>
        <c:crosses val="autoZero"/>
        <c:auto val="1"/>
        <c:lblAlgn val="ctr"/>
        <c:lblOffset val="100"/>
        <c:noMultiLvlLbl val="0"/>
      </c:catAx>
      <c:valAx>
        <c:axId val="77117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17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Analysis - Nile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67010589193594"/>
          <c:y val="0.14139941690962099"/>
          <c:w val="0.87377816997013302"/>
          <c:h val="0.61112960369749703"/>
        </c:manualLayout>
      </c:layout>
      <c:barChart>
        <c:barDir val="col"/>
        <c:grouping val="clustered"/>
        <c:varyColors val="0"/>
        <c:ser>
          <c:idx val="0"/>
          <c:order val="0"/>
          <c:tx>
            <c:strRef>
              <c:f>Nile_Sale!$A$1</c:f>
              <c:strCache>
                <c:ptCount val="1"/>
                <c:pt idx="0">
                  <c:v>التاريخ </c:v>
                </c:pt>
              </c:strCache>
            </c:strRef>
          </c:tx>
          <c:spPr>
            <a:solidFill>
              <a:schemeClr val="accent1"/>
            </a:solidFill>
            <a:ln>
              <a:noFill/>
            </a:ln>
            <a:effectLst/>
          </c:spPr>
          <c:invertIfNegative val="0"/>
          <c:val>
            <c:numRef>
              <c:f>Nile_Sale!$A$2:$A$51</c:f>
              <c:numCache>
                <c:formatCode>m/d/yyyy</c:formatCode>
                <c:ptCount val="50"/>
                <c:pt idx="0">
                  <c:v>46057</c:v>
                </c:pt>
                <c:pt idx="1">
                  <c:v>46058</c:v>
                </c:pt>
                <c:pt idx="2">
                  <c:v>46059</c:v>
                </c:pt>
                <c:pt idx="3">
                  <c:v>46060</c:v>
                </c:pt>
                <c:pt idx="4">
                  <c:v>46061</c:v>
                </c:pt>
                <c:pt idx="5">
                  <c:v>46062</c:v>
                </c:pt>
                <c:pt idx="6">
                  <c:v>46063</c:v>
                </c:pt>
                <c:pt idx="7">
                  <c:v>46064</c:v>
                </c:pt>
                <c:pt idx="8">
                  <c:v>46065</c:v>
                </c:pt>
                <c:pt idx="9">
                  <c:v>46057</c:v>
                </c:pt>
                <c:pt idx="10">
                  <c:v>46058</c:v>
                </c:pt>
                <c:pt idx="11">
                  <c:v>46059</c:v>
                </c:pt>
                <c:pt idx="12">
                  <c:v>46060</c:v>
                </c:pt>
                <c:pt idx="13">
                  <c:v>46061</c:v>
                </c:pt>
                <c:pt idx="14">
                  <c:v>46062</c:v>
                </c:pt>
                <c:pt idx="15">
                  <c:v>46063</c:v>
                </c:pt>
                <c:pt idx="16">
                  <c:v>46064</c:v>
                </c:pt>
                <c:pt idx="17">
                  <c:v>46065</c:v>
                </c:pt>
                <c:pt idx="18">
                  <c:v>46057</c:v>
                </c:pt>
                <c:pt idx="19">
                  <c:v>46058</c:v>
                </c:pt>
                <c:pt idx="20">
                  <c:v>46059</c:v>
                </c:pt>
                <c:pt idx="21">
                  <c:v>46060</c:v>
                </c:pt>
                <c:pt idx="22">
                  <c:v>46061</c:v>
                </c:pt>
                <c:pt idx="23">
                  <c:v>46062</c:v>
                </c:pt>
                <c:pt idx="24">
                  <c:v>46063</c:v>
                </c:pt>
                <c:pt idx="25">
                  <c:v>46064</c:v>
                </c:pt>
                <c:pt idx="26">
                  <c:v>46065</c:v>
                </c:pt>
                <c:pt idx="27">
                  <c:v>46057</c:v>
                </c:pt>
                <c:pt idx="28">
                  <c:v>46058</c:v>
                </c:pt>
                <c:pt idx="29">
                  <c:v>46059</c:v>
                </c:pt>
                <c:pt idx="30">
                  <c:v>46060</c:v>
                </c:pt>
                <c:pt idx="31">
                  <c:v>46061</c:v>
                </c:pt>
                <c:pt idx="32">
                  <c:v>46062</c:v>
                </c:pt>
                <c:pt idx="33">
                  <c:v>46063</c:v>
                </c:pt>
                <c:pt idx="34">
                  <c:v>46064</c:v>
                </c:pt>
                <c:pt idx="35">
                  <c:v>46065</c:v>
                </c:pt>
                <c:pt idx="36">
                  <c:v>46062</c:v>
                </c:pt>
                <c:pt idx="37">
                  <c:v>46063</c:v>
                </c:pt>
                <c:pt idx="38">
                  <c:v>46064</c:v>
                </c:pt>
                <c:pt idx="39">
                  <c:v>46065</c:v>
                </c:pt>
                <c:pt idx="40">
                  <c:v>46057</c:v>
                </c:pt>
                <c:pt idx="41">
                  <c:v>46058</c:v>
                </c:pt>
                <c:pt idx="42">
                  <c:v>46059</c:v>
                </c:pt>
                <c:pt idx="43">
                  <c:v>46060</c:v>
                </c:pt>
                <c:pt idx="44">
                  <c:v>46061</c:v>
                </c:pt>
                <c:pt idx="45">
                  <c:v>46062</c:v>
                </c:pt>
                <c:pt idx="46">
                  <c:v>46063</c:v>
                </c:pt>
                <c:pt idx="47">
                  <c:v>46064</c:v>
                </c:pt>
                <c:pt idx="48">
                  <c:v>46065</c:v>
                </c:pt>
                <c:pt idx="49">
                  <c:v>46066</c:v>
                </c:pt>
              </c:numCache>
            </c:numRef>
          </c:val>
          <c:extLst>
            <c:ext xmlns:c16="http://schemas.microsoft.com/office/drawing/2014/chart" uri="{C3380CC4-5D6E-409C-BE32-E72D297353CC}">
              <c16:uniqueId val="{00000000-9299-4ECF-AF08-2D708992D54F}"/>
            </c:ext>
          </c:extLst>
        </c:ser>
        <c:ser>
          <c:idx val="1"/>
          <c:order val="1"/>
          <c:tx>
            <c:strRef>
              <c:f>Nile_Sale!$B$1</c:f>
              <c:strCache>
                <c:ptCount val="1"/>
                <c:pt idx="0">
                  <c:v>اسم العميل</c:v>
                </c:pt>
              </c:strCache>
            </c:strRef>
          </c:tx>
          <c:spPr>
            <a:solidFill>
              <a:schemeClr val="accent2"/>
            </a:solidFill>
            <a:ln>
              <a:noFill/>
            </a:ln>
            <a:effectLst/>
          </c:spPr>
          <c:invertIfNegative val="0"/>
          <c:val>
            <c:numRef>
              <c:f>Nile_Sale!$B$2:$B$51</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9299-4ECF-AF08-2D708992D54F}"/>
            </c:ext>
          </c:extLst>
        </c:ser>
        <c:ser>
          <c:idx val="2"/>
          <c:order val="2"/>
          <c:tx>
            <c:strRef>
              <c:f>Nile_Sale!$C$1</c:f>
              <c:strCache>
                <c:ptCount val="1"/>
                <c:pt idx="0">
                  <c:v>المنتج </c:v>
                </c:pt>
              </c:strCache>
            </c:strRef>
          </c:tx>
          <c:spPr>
            <a:solidFill>
              <a:schemeClr val="accent3"/>
            </a:solidFill>
            <a:ln>
              <a:noFill/>
            </a:ln>
            <a:effectLst/>
          </c:spPr>
          <c:invertIfNegative val="0"/>
          <c:val>
            <c:numRef>
              <c:f>Nile_Sale!$C$2:$C$51</c:f>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2-9299-4ECF-AF08-2D708992D54F}"/>
            </c:ext>
          </c:extLst>
        </c:ser>
        <c:ser>
          <c:idx val="3"/>
          <c:order val="3"/>
          <c:tx>
            <c:strRef>
              <c:f>Nile_Sale!$D$1</c:f>
              <c:strCache>
                <c:ptCount val="1"/>
                <c:pt idx="0">
                  <c:v>الكمية </c:v>
                </c:pt>
              </c:strCache>
            </c:strRef>
          </c:tx>
          <c:spPr>
            <a:solidFill>
              <a:schemeClr val="accent4"/>
            </a:solidFill>
            <a:ln>
              <a:noFill/>
            </a:ln>
            <a:effectLst/>
          </c:spPr>
          <c:invertIfNegative val="0"/>
          <c:val>
            <c:numRef>
              <c:f>Nile_Sale!$D$2:$D$51</c:f>
              <c:numCache>
                <c:formatCode>General</c:formatCode>
                <c:ptCount val="50"/>
                <c:pt idx="0">
                  <c:v>5</c:v>
                </c:pt>
                <c:pt idx="1">
                  <c:v>5</c:v>
                </c:pt>
                <c:pt idx="2">
                  <c:v>5</c:v>
                </c:pt>
                <c:pt idx="3">
                  <c:v>5</c:v>
                </c:pt>
                <c:pt idx="4">
                  <c:v>5</c:v>
                </c:pt>
                <c:pt idx="5">
                  <c:v>9</c:v>
                </c:pt>
                <c:pt idx="6">
                  <c:v>8</c:v>
                </c:pt>
                <c:pt idx="7">
                  <c:v>7</c:v>
                </c:pt>
                <c:pt idx="8">
                  <c:v>5</c:v>
                </c:pt>
                <c:pt idx="9">
                  <c:v>5</c:v>
                </c:pt>
                <c:pt idx="10">
                  <c:v>5</c:v>
                </c:pt>
                <c:pt idx="11">
                  <c:v>5</c:v>
                </c:pt>
                <c:pt idx="12">
                  <c:v>5</c:v>
                </c:pt>
                <c:pt idx="13">
                  <c:v>5</c:v>
                </c:pt>
                <c:pt idx="14">
                  <c:v>9</c:v>
                </c:pt>
                <c:pt idx="15">
                  <c:v>8</c:v>
                </c:pt>
                <c:pt idx="16">
                  <c:v>7</c:v>
                </c:pt>
                <c:pt idx="17">
                  <c:v>5</c:v>
                </c:pt>
                <c:pt idx="18">
                  <c:v>5</c:v>
                </c:pt>
                <c:pt idx="19">
                  <c:v>5</c:v>
                </c:pt>
                <c:pt idx="20">
                  <c:v>5</c:v>
                </c:pt>
                <c:pt idx="21">
                  <c:v>5</c:v>
                </c:pt>
                <c:pt idx="22">
                  <c:v>5</c:v>
                </c:pt>
                <c:pt idx="23">
                  <c:v>9</c:v>
                </c:pt>
                <c:pt idx="24">
                  <c:v>8</c:v>
                </c:pt>
                <c:pt idx="25">
                  <c:v>7</c:v>
                </c:pt>
                <c:pt idx="26">
                  <c:v>5</c:v>
                </c:pt>
                <c:pt idx="27">
                  <c:v>5</c:v>
                </c:pt>
                <c:pt idx="28">
                  <c:v>5</c:v>
                </c:pt>
                <c:pt idx="29">
                  <c:v>5</c:v>
                </c:pt>
                <c:pt idx="30">
                  <c:v>5</c:v>
                </c:pt>
                <c:pt idx="31">
                  <c:v>5</c:v>
                </c:pt>
                <c:pt idx="32">
                  <c:v>9</c:v>
                </c:pt>
                <c:pt idx="33">
                  <c:v>8</c:v>
                </c:pt>
                <c:pt idx="34">
                  <c:v>7</c:v>
                </c:pt>
                <c:pt idx="35">
                  <c:v>5</c:v>
                </c:pt>
                <c:pt idx="36">
                  <c:v>9</c:v>
                </c:pt>
                <c:pt idx="37">
                  <c:v>8</c:v>
                </c:pt>
                <c:pt idx="38">
                  <c:v>7</c:v>
                </c:pt>
                <c:pt idx="39">
                  <c:v>5</c:v>
                </c:pt>
                <c:pt idx="40">
                  <c:v>5</c:v>
                </c:pt>
                <c:pt idx="41">
                  <c:v>5</c:v>
                </c:pt>
                <c:pt idx="42">
                  <c:v>5</c:v>
                </c:pt>
                <c:pt idx="43">
                  <c:v>5</c:v>
                </c:pt>
                <c:pt idx="44">
                  <c:v>5</c:v>
                </c:pt>
                <c:pt idx="45">
                  <c:v>9</c:v>
                </c:pt>
                <c:pt idx="46">
                  <c:v>8</c:v>
                </c:pt>
                <c:pt idx="47">
                  <c:v>7</c:v>
                </c:pt>
                <c:pt idx="48">
                  <c:v>5</c:v>
                </c:pt>
              </c:numCache>
            </c:numRef>
          </c:val>
          <c:extLst>
            <c:ext xmlns:c16="http://schemas.microsoft.com/office/drawing/2014/chart" uri="{C3380CC4-5D6E-409C-BE32-E72D297353CC}">
              <c16:uniqueId val="{00000003-9299-4ECF-AF08-2D708992D54F}"/>
            </c:ext>
          </c:extLst>
        </c:ser>
        <c:ser>
          <c:idx val="4"/>
          <c:order val="4"/>
          <c:tx>
            <c:strRef>
              <c:f>Nile_Sale!$E$1</c:f>
              <c:strCache>
                <c:ptCount val="1"/>
                <c:pt idx="0">
                  <c:v> السعر </c:v>
                </c:pt>
              </c:strCache>
            </c:strRef>
          </c:tx>
          <c:spPr>
            <a:solidFill>
              <a:schemeClr val="accent5"/>
            </a:solidFill>
            <a:ln>
              <a:noFill/>
            </a:ln>
            <a:effectLst/>
          </c:spPr>
          <c:invertIfNegative val="0"/>
          <c:val>
            <c:numRef>
              <c:f>Nile_Sale!$E$2:$E$51</c:f>
              <c:numCache>
                <c:formatCode>_("$"* #,##0.00_);_("$"* \(#,##0.00\);_("$"* "-"??_);_(@_)</c:formatCode>
                <c:ptCount val="50"/>
                <c:pt idx="0">
                  <c:v>20</c:v>
                </c:pt>
                <c:pt idx="1">
                  <c:v>20</c:v>
                </c:pt>
                <c:pt idx="2">
                  <c:v>50</c:v>
                </c:pt>
                <c:pt idx="3">
                  <c:v>20</c:v>
                </c:pt>
                <c:pt idx="4">
                  <c:v>13</c:v>
                </c:pt>
                <c:pt idx="5">
                  <c:v>50</c:v>
                </c:pt>
                <c:pt idx="6">
                  <c:v>60</c:v>
                </c:pt>
                <c:pt idx="7">
                  <c:v>50</c:v>
                </c:pt>
                <c:pt idx="8">
                  <c:v>20</c:v>
                </c:pt>
                <c:pt idx="9">
                  <c:v>20</c:v>
                </c:pt>
                <c:pt idx="10">
                  <c:v>20</c:v>
                </c:pt>
                <c:pt idx="11">
                  <c:v>50</c:v>
                </c:pt>
                <c:pt idx="12">
                  <c:v>20</c:v>
                </c:pt>
                <c:pt idx="13">
                  <c:v>13</c:v>
                </c:pt>
                <c:pt idx="14">
                  <c:v>50</c:v>
                </c:pt>
                <c:pt idx="15">
                  <c:v>60</c:v>
                </c:pt>
                <c:pt idx="16">
                  <c:v>50</c:v>
                </c:pt>
                <c:pt idx="17">
                  <c:v>20</c:v>
                </c:pt>
                <c:pt idx="18">
                  <c:v>20</c:v>
                </c:pt>
                <c:pt idx="19">
                  <c:v>20</c:v>
                </c:pt>
                <c:pt idx="20">
                  <c:v>50</c:v>
                </c:pt>
                <c:pt idx="21">
                  <c:v>20</c:v>
                </c:pt>
                <c:pt idx="22">
                  <c:v>13</c:v>
                </c:pt>
                <c:pt idx="23">
                  <c:v>50</c:v>
                </c:pt>
                <c:pt idx="24">
                  <c:v>60</c:v>
                </c:pt>
                <c:pt idx="25">
                  <c:v>50</c:v>
                </c:pt>
                <c:pt idx="26">
                  <c:v>20</c:v>
                </c:pt>
                <c:pt idx="27">
                  <c:v>20</c:v>
                </c:pt>
                <c:pt idx="28">
                  <c:v>20</c:v>
                </c:pt>
                <c:pt idx="29">
                  <c:v>50</c:v>
                </c:pt>
                <c:pt idx="30">
                  <c:v>20</c:v>
                </c:pt>
                <c:pt idx="31">
                  <c:v>13</c:v>
                </c:pt>
                <c:pt idx="32">
                  <c:v>50</c:v>
                </c:pt>
                <c:pt idx="33">
                  <c:v>60</c:v>
                </c:pt>
                <c:pt idx="34">
                  <c:v>50</c:v>
                </c:pt>
                <c:pt idx="35">
                  <c:v>20</c:v>
                </c:pt>
                <c:pt idx="36">
                  <c:v>50</c:v>
                </c:pt>
                <c:pt idx="37">
                  <c:v>60</c:v>
                </c:pt>
                <c:pt idx="38">
                  <c:v>50</c:v>
                </c:pt>
                <c:pt idx="39">
                  <c:v>20</c:v>
                </c:pt>
                <c:pt idx="40">
                  <c:v>20</c:v>
                </c:pt>
                <c:pt idx="41">
                  <c:v>20</c:v>
                </c:pt>
                <c:pt idx="42">
                  <c:v>50</c:v>
                </c:pt>
                <c:pt idx="43">
                  <c:v>20</c:v>
                </c:pt>
                <c:pt idx="44">
                  <c:v>13</c:v>
                </c:pt>
                <c:pt idx="45">
                  <c:v>50</c:v>
                </c:pt>
                <c:pt idx="46">
                  <c:v>60</c:v>
                </c:pt>
                <c:pt idx="47">
                  <c:v>50</c:v>
                </c:pt>
                <c:pt idx="48">
                  <c:v>20</c:v>
                </c:pt>
              </c:numCache>
            </c:numRef>
          </c:val>
          <c:extLst>
            <c:ext xmlns:c16="http://schemas.microsoft.com/office/drawing/2014/chart" uri="{C3380CC4-5D6E-409C-BE32-E72D297353CC}">
              <c16:uniqueId val="{00000004-9299-4ECF-AF08-2D708992D54F}"/>
            </c:ext>
          </c:extLst>
        </c:ser>
        <c:ser>
          <c:idx val="5"/>
          <c:order val="5"/>
          <c:tx>
            <c:strRef>
              <c:f>Nile_Sale!$F$1</c:f>
              <c:strCache>
                <c:ptCount val="1"/>
                <c:pt idx="0">
                  <c:v> الاجمالي  </c:v>
                </c:pt>
              </c:strCache>
            </c:strRef>
          </c:tx>
          <c:spPr>
            <a:solidFill>
              <a:schemeClr val="accent6"/>
            </a:solidFill>
            <a:ln>
              <a:noFill/>
            </a:ln>
            <a:effectLst/>
          </c:spPr>
          <c:invertIfNegative val="0"/>
          <c:val>
            <c:numRef>
              <c:f>Nile_Sale!$F$2:$F$51</c:f>
              <c:numCache>
                <c:formatCode>_("$"* #,##0.00_);_("$"* \(#,##0.00\);_("$"* "-"??_);_(@_)</c:formatCode>
                <c:ptCount val="50"/>
                <c:pt idx="0">
                  <c:v>100</c:v>
                </c:pt>
                <c:pt idx="1">
                  <c:v>100</c:v>
                </c:pt>
                <c:pt idx="2">
                  <c:v>250</c:v>
                </c:pt>
                <c:pt idx="3">
                  <c:v>100</c:v>
                </c:pt>
                <c:pt idx="4">
                  <c:v>65</c:v>
                </c:pt>
                <c:pt idx="5">
                  <c:v>450</c:v>
                </c:pt>
                <c:pt idx="6">
                  <c:v>480</c:v>
                </c:pt>
                <c:pt idx="7">
                  <c:v>350</c:v>
                </c:pt>
                <c:pt idx="8">
                  <c:v>100</c:v>
                </c:pt>
                <c:pt idx="9">
                  <c:v>100</c:v>
                </c:pt>
                <c:pt idx="10">
                  <c:v>100</c:v>
                </c:pt>
                <c:pt idx="11">
                  <c:v>250</c:v>
                </c:pt>
                <c:pt idx="12">
                  <c:v>100</c:v>
                </c:pt>
                <c:pt idx="13">
                  <c:v>65</c:v>
                </c:pt>
                <c:pt idx="14">
                  <c:v>450</c:v>
                </c:pt>
                <c:pt idx="15">
                  <c:v>480</c:v>
                </c:pt>
                <c:pt idx="16">
                  <c:v>350</c:v>
                </c:pt>
                <c:pt idx="17">
                  <c:v>100</c:v>
                </c:pt>
                <c:pt idx="18">
                  <c:v>100</c:v>
                </c:pt>
                <c:pt idx="19">
                  <c:v>100</c:v>
                </c:pt>
                <c:pt idx="20">
                  <c:v>250</c:v>
                </c:pt>
                <c:pt idx="21">
                  <c:v>100</c:v>
                </c:pt>
                <c:pt idx="22">
                  <c:v>65</c:v>
                </c:pt>
                <c:pt idx="23">
                  <c:v>450</c:v>
                </c:pt>
                <c:pt idx="24">
                  <c:v>480</c:v>
                </c:pt>
                <c:pt idx="25">
                  <c:v>350</c:v>
                </c:pt>
                <c:pt idx="26">
                  <c:v>100</c:v>
                </c:pt>
                <c:pt idx="27">
                  <c:v>100</c:v>
                </c:pt>
                <c:pt idx="28">
                  <c:v>100</c:v>
                </c:pt>
                <c:pt idx="29">
                  <c:v>250</c:v>
                </c:pt>
                <c:pt idx="30">
                  <c:v>100</c:v>
                </c:pt>
                <c:pt idx="31">
                  <c:v>65</c:v>
                </c:pt>
                <c:pt idx="32">
                  <c:v>450</c:v>
                </c:pt>
                <c:pt idx="33">
                  <c:v>480</c:v>
                </c:pt>
                <c:pt idx="34">
                  <c:v>350</c:v>
                </c:pt>
                <c:pt idx="35">
                  <c:v>100</c:v>
                </c:pt>
                <c:pt idx="36">
                  <c:v>450</c:v>
                </c:pt>
                <c:pt idx="37">
                  <c:v>480</c:v>
                </c:pt>
                <c:pt idx="38">
                  <c:v>350</c:v>
                </c:pt>
                <c:pt idx="39">
                  <c:v>100</c:v>
                </c:pt>
                <c:pt idx="40">
                  <c:v>100</c:v>
                </c:pt>
                <c:pt idx="41">
                  <c:v>100</c:v>
                </c:pt>
                <c:pt idx="42">
                  <c:v>250</c:v>
                </c:pt>
                <c:pt idx="43">
                  <c:v>100</c:v>
                </c:pt>
                <c:pt idx="44">
                  <c:v>65</c:v>
                </c:pt>
                <c:pt idx="45">
                  <c:v>450</c:v>
                </c:pt>
                <c:pt idx="46">
                  <c:v>480</c:v>
                </c:pt>
                <c:pt idx="47">
                  <c:v>350</c:v>
                </c:pt>
                <c:pt idx="48">
                  <c:v>100</c:v>
                </c:pt>
                <c:pt idx="49">
                  <c:v>5000</c:v>
                </c:pt>
              </c:numCache>
            </c:numRef>
          </c:val>
          <c:extLst>
            <c:ext xmlns:c16="http://schemas.microsoft.com/office/drawing/2014/chart" uri="{C3380CC4-5D6E-409C-BE32-E72D297353CC}">
              <c16:uniqueId val="{00000005-9299-4ECF-AF08-2D708992D54F}"/>
            </c:ext>
          </c:extLst>
        </c:ser>
        <c:ser>
          <c:idx val="6"/>
          <c:order val="6"/>
          <c:tx>
            <c:strRef>
              <c:f>Nile_Sale!$G$1</c:f>
              <c:strCache>
                <c:ptCount val="1"/>
                <c:pt idx="0">
                  <c:v> discount </c:v>
                </c:pt>
              </c:strCache>
            </c:strRef>
          </c:tx>
          <c:spPr>
            <a:solidFill>
              <a:schemeClr val="accent1">
                <a:lumMod val="60000"/>
              </a:schemeClr>
            </a:solidFill>
            <a:ln>
              <a:noFill/>
            </a:ln>
            <a:effectLst/>
          </c:spPr>
          <c:invertIfNegative val="0"/>
          <c:val>
            <c:numRef>
              <c:f>Nile_Sale!$G$2:$G$51</c:f>
              <c:numCache>
                <c:formatCode>_("$"* #,##0.00_);_("$"* \(#,##0.00\);_("$"* "-"??_);_(@_)</c:formatCode>
                <c:ptCount val="50"/>
                <c:pt idx="0">
                  <c:v>10</c:v>
                </c:pt>
                <c:pt idx="1">
                  <c:v>10</c:v>
                </c:pt>
                <c:pt idx="2">
                  <c:v>25</c:v>
                </c:pt>
                <c:pt idx="3">
                  <c:v>10</c:v>
                </c:pt>
                <c:pt idx="4">
                  <c:v>6.5</c:v>
                </c:pt>
                <c:pt idx="5">
                  <c:v>45</c:v>
                </c:pt>
                <c:pt idx="6">
                  <c:v>48</c:v>
                </c:pt>
                <c:pt idx="7">
                  <c:v>35</c:v>
                </c:pt>
                <c:pt idx="8">
                  <c:v>10</c:v>
                </c:pt>
                <c:pt idx="9">
                  <c:v>10</c:v>
                </c:pt>
                <c:pt idx="10">
                  <c:v>10</c:v>
                </c:pt>
                <c:pt idx="11">
                  <c:v>25</c:v>
                </c:pt>
                <c:pt idx="12">
                  <c:v>10</c:v>
                </c:pt>
                <c:pt idx="13">
                  <c:v>6.5</c:v>
                </c:pt>
                <c:pt idx="14">
                  <c:v>45</c:v>
                </c:pt>
                <c:pt idx="15">
                  <c:v>48</c:v>
                </c:pt>
                <c:pt idx="16">
                  <c:v>35</c:v>
                </c:pt>
                <c:pt idx="17">
                  <c:v>10</c:v>
                </c:pt>
                <c:pt idx="18">
                  <c:v>10</c:v>
                </c:pt>
                <c:pt idx="19">
                  <c:v>10</c:v>
                </c:pt>
                <c:pt idx="20">
                  <c:v>25</c:v>
                </c:pt>
                <c:pt idx="21">
                  <c:v>10</c:v>
                </c:pt>
                <c:pt idx="22">
                  <c:v>6.5</c:v>
                </c:pt>
                <c:pt idx="23">
                  <c:v>45</c:v>
                </c:pt>
                <c:pt idx="24">
                  <c:v>48</c:v>
                </c:pt>
                <c:pt idx="25">
                  <c:v>35</c:v>
                </c:pt>
                <c:pt idx="26">
                  <c:v>10</c:v>
                </c:pt>
                <c:pt idx="27">
                  <c:v>10</c:v>
                </c:pt>
                <c:pt idx="28">
                  <c:v>10</c:v>
                </c:pt>
                <c:pt idx="29">
                  <c:v>25</c:v>
                </c:pt>
                <c:pt idx="30">
                  <c:v>10</c:v>
                </c:pt>
                <c:pt idx="31">
                  <c:v>6.5</c:v>
                </c:pt>
                <c:pt idx="32">
                  <c:v>45</c:v>
                </c:pt>
                <c:pt idx="33">
                  <c:v>48</c:v>
                </c:pt>
                <c:pt idx="34">
                  <c:v>35</c:v>
                </c:pt>
                <c:pt idx="35">
                  <c:v>10</c:v>
                </c:pt>
                <c:pt idx="36">
                  <c:v>45</c:v>
                </c:pt>
                <c:pt idx="37">
                  <c:v>48</c:v>
                </c:pt>
                <c:pt idx="38">
                  <c:v>35</c:v>
                </c:pt>
                <c:pt idx="39">
                  <c:v>10</c:v>
                </c:pt>
                <c:pt idx="40">
                  <c:v>10</c:v>
                </c:pt>
                <c:pt idx="41">
                  <c:v>10</c:v>
                </c:pt>
                <c:pt idx="42">
                  <c:v>25</c:v>
                </c:pt>
                <c:pt idx="43">
                  <c:v>10</c:v>
                </c:pt>
                <c:pt idx="44">
                  <c:v>6.5</c:v>
                </c:pt>
                <c:pt idx="45">
                  <c:v>45</c:v>
                </c:pt>
                <c:pt idx="46">
                  <c:v>48</c:v>
                </c:pt>
                <c:pt idx="47">
                  <c:v>35</c:v>
                </c:pt>
                <c:pt idx="48">
                  <c:v>10</c:v>
                </c:pt>
                <c:pt idx="49">
                  <c:v>500</c:v>
                </c:pt>
              </c:numCache>
            </c:numRef>
          </c:val>
          <c:extLst>
            <c:ext xmlns:c16="http://schemas.microsoft.com/office/drawing/2014/chart" uri="{C3380CC4-5D6E-409C-BE32-E72D297353CC}">
              <c16:uniqueId val="{00000006-9299-4ECF-AF08-2D708992D54F}"/>
            </c:ext>
          </c:extLst>
        </c:ser>
        <c:ser>
          <c:idx val="7"/>
          <c:order val="7"/>
          <c:tx>
            <c:strRef>
              <c:f>Nile_Sale!$H$1</c:f>
              <c:strCache>
                <c:ptCount val="1"/>
                <c:pt idx="0">
                  <c:v> Net_Total </c:v>
                </c:pt>
              </c:strCache>
            </c:strRef>
          </c:tx>
          <c:spPr>
            <a:solidFill>
              <a:schemeClr val="accent2">
                <a:lumMod val="60000"/>
              </a:schemeClr>
            </a:solidFill>
            <a:ln>
              <a:noFill/>
            </a:ln>
            <a:effectLst/>
          </c:spPr>
          <c:invertIfNegative val="0"/>
          <c:val>
            <c:numRef>
              <c:f>Nile_Sale!$H$2:$H$51</c:f>
              <c:numCache>
                <c:formatCode>_("$"* #,##0.00_);_("$"* \(#,##0.00\);_("$"* "-"??_);_(@_)</c:formatCode>
                <c:ptCount val="50"/>
                <c:pt idx="0">
                  <c:v>90</c:v>
                </c:pt>
                <c:pt idx="1">
                  <c:v>90</c:v>
                </c:pt>
                <c:pt idx="2">
                  <c:v>225</c:v>
                </c:pt>
                <c:pt idx="3">
                  <c:v>90</c:v>
                </c:pt>
                <c:pt idx="4">
                  <c:v>58.5</c:v>
                </c:pt>
                <c:pt idx="5">
                  <c:v>405</c:v>
                </c:pt>
                <c:pt idx="6">
                  <c:v>432</c:v>
                </c:pt>
                <c:pt idx="7">
                  <c:v>315</c:v>
                </c:pt>
                <c:pt idx="8">
                  <c:v>90</c:v>
                </c:pt>
                <c:pt idx="9">
                  <c:v>90</c:v>
                </c:pt>
                <c:pt idx="10">
                  <c:v>90</c:v>
                </c:pt>
                <c:pt idx="11">
                  <c:v>225</c:v>
                </c:pt>
                <c:pt idx="12">
                  <c:v>90</c:v>
                </c:pt>
                <c:pt idx="13">
                  <c:v>58.5</c:v>
                </c:pt>
                <c:pt idx="14">
                  <c:v>405</c:v>
                </c:pt>
                <c:pt idx="15">
                  <c:v>432</c:v>
                </c:pt>
                <c:pt idx="16">
                  <c:v>315</c:v>
                </c:pt>
                <c:pt idx="17">
                  <c:v>90</c:v>
                </c:pt>
                <c:pt idx="18">
                  <c:v>90</c:v>
                </c:pt>
                <c:pt idx="19">
                  <c:v>90</c:v>
                </c:pt>
                <c:pt idx="20">
                  <c:v>225</c:v>
                </c:pt>
                <c:pt idx="21">
                  <c:v>90</c:v>
                </c:pt>
                <c:pt idx="22">
                  <c:v>58.5</c:v>
                </c:pt>
                <c:pt idx="23">
                  <c:v>405</c:v>
                </c:pt>
                <c:pt idx="24">
                  <c:v>432</c:v>
                </c:pt>
                <c:pt idx="25">
                  <c:v>315</c:v>
                </c:pt>
                <c:pt idx="26">
                  <c:v>90</c:v>
                </c:pt>
                <c:pt idx="27">
                  <c:v>90</c:v>
                </c:pt>
                <c:pt idx="28">
                  <c:v>90</c:v>
                </c:pt>
                <c:pt idx="29">
                  <c:v>225</c:v>
                </c:pt>
                <c:pt idx="30">
                  <c:v>90</c:v>
                </c:pt>
                <c:pt idx="31">
                  <c:v>58.5</c:v>
                </c:pt>
                <c:pt idx="32">
                  <c:v>405</c:v>
                </c:pt>
                <c:pt idx="33">
                  <c:v>432</c:v>
                </c:pt>
                <c:pt idx="34">
                  <c:v>315</c:v>
                </c:pt>
                <c:pt idx="35">
                  <c:v>90</c:v>
                </c:pt>
                <c:pt idx="36">
                  <c:v>405</c:v>
                </c:pt>
                <c:pt idx="37">
                  <c:v>432</c:v>
                </c:pt>
                <c:pt idx="38">
                  <c:v>315</c:v>
                </c:pt>
                <c:pt idx="39">
                  <c:v>90</c:v>
                </c:pt>
                <c:pt idx="40">
                  <c:v>90</c:v>
                </c:pt>
                <c:pt idx="41">
                  <c:v>90</c:v>
                </c:pt>
                <c:pt idx="42">
                  <c:v>225</c:v>
                </c:pt>
                <c:pt idx="43">
                  <c:v>90</c:v>
                </c:pt>
                <c:pt idx="44">
                  <c:v>58.5</c:v>
                </c:pt>
                <c:pt idx="45">
                  <c:v>405</c:v>
                </c:pt>
                <c:pt idx="46">
                  <c:v>432</c:v>
                </c:pt>
                <c:pt idx="47">
                  <c:v>315</c:v>
                </c:pt>
                <c:pt idx="48">
                  <c:v>90</c:v>
                </c:pt>
                <c:pt idx="49">
                  <c:v>4500</c:v>
                </c:pt>
              </c:numCache>
            </c:numRef>
          </c:val>
          <c:extLst>
            <c:ext xmlns:c16="http://schemas.microsoft.com/office/drawing/2014/chart" uri="{C3380CC4-5D6E-409C-BE32-E72D297353CC}">
              <c16:uniqueId val="{00000007-9299-4ECF-AF08-2D708992D54F}"/>
            </c:ext>
          </c:extLst>
        </c:ser>
        <c:dLbls>
          <c:showLegendKey val="0"/>
          <c:showVal val="0"/>
          <c:showCatName val="0"/>
          <c:showSerName val="0"/>
          <c:showPercent val="0"/>
          <c:showBubbleSize val="0"/>
        </c:dLbls>
        <c:gapWidth val="219"/>
        <c:overlap val="-27"/>
        <c:axId val="1652794416"/>
        <c:axId val="1652795664"/>
      </c:barChart>
      <c:catAx>
        <c:axId val="1652794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795664"/>
        <c:crosses val="autoZero"/>
        <c:auto val="1"/>
        <c:lblAlgn val="ctr"/>
        <c:lblOffset val="100"/>
        <c:noMultiLvlLbl val="0"/>
      </c:catAx>
      <c:valAx>
        <c:axId val="1652795664"/>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794416"/>
        <c:crosses val="autoZero"/>
        <c:crossBetween val="between"/>
      </c:valAx>
      <c:spPr>
        <a:noFill/>
        <a:ln>
          <a:noFill/>
        </a:ln>
        <a:effectLst/>
      </c:spPr>
    </c:plotArea>
    <c:legend>
      <c:legendPos val="b"/>
      <c:layout>
        <c:manualLayout>
          <c:xMode val="edge"/>
          <c:yMode val="edge"/>
          <c:x val="0.164309552900715"/>
          <c:y val="0.88591182003537117"/>
          <c:w val="0.69293247692098836"/>
          <c:h val="0.114088179964628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137160</xdr:colOff>
      <xdr:row>7</xdr:row>
      <xdr:rowOff>87630</xdr:rowOff>
    </xdr:from>
    <xdr:to>
      <xdr:col>13</xdr:col>
      <xdr:colOff>441960</xdr:colOff>
      <xdr:row>23</xdr:row>
      <xdr:rowOff>148590</xdr:rowOff>
    </xdr:to>
    <xdr:graphicFrame macro="">
      <xdr:nvGraphicFramePr>
        <xdr:cNvPr id="3" name="Chart 2">
          <a:extLst>
            <a:ext uri="{FF2B5EF4-FFF2-40B4-BE49-F238E27FC236}">
              <a16:creationId xmlns:a16="http://schemas.microsoft.com/office/drawing/2014/main" id="{327FFB5C-50F5-4F29-AF94-5FA6CF218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906780</xdr:colOff>
      <xdr:row>10</xdr:row>
      <xdr:rowOff>76200</xdr:rowOff>
    </xdr:from>
    <xdr:to>
      <xdr:col>4</xdr:col>
      <xdr:colOff>525780</xdr:colOff>
      <xdr:row>23</xdr:row>
      <xdr:rowOff>135255</xdr:rowOff>
    </xdr:to>
    <mc:AlternateContent xmlns:mc="http://schemas.openxmlformats.org/markup-compatibility/2006" xmlns:a14="http://schemas.microsoft.com/office/drawing/2010/main">
      <mc:Choice Requires="a14">
        <xdr:graphicFrame macro="">
          <xdr:nvGraphicFramePr>
            <xdr:cNvPr id="4" name="اسم العميل 2">
              <a:extLst>
                <a:ext uri="{FF2B5EF4-FFF2-40B4-BE49-F238E27FC236}">
                  <a16:creationId xmlns:a16="http://schemas.microsoft.com/office/drawing/2014/main" id="{42B7C951-37A1-4548-B654-CECDDCB374E1}"/>
                </a:ext>
              </a:extLst>
            </xdr:cNvPr>
            <xdr:cNvGraphicFramePr/>
          </xdr:nvGraphicFramePr>
          <xdr:xfrm>
            <a:off x="0" y="0"/>
            <a:ext cx="0" cy="0"/>
          </xdr:xfrm>
          <a:graphic>
            <a:graphicData uri="http://schemas.microsoft.com/office/drawing/2010/slicer">
              <sle:slicer xmlns:sle="http://schemas.microsoft.com/office/drawing/2010/slicer" name="اسم العميل 2"/>
            </a:graphicData>
          </a:graphic>
        </xdr:graphicFrame>
      </mc:Choice>
      <mc:Fallback xmlns="">
        <xdr:sp macro="" textlink="">
          <xdr:nvSpPr>
            <xdr:cNvPr id="0" name=""/>
            <xdr:cNvSpPr>
              <a:spLocks noTextEdit="1"/>
            </xdr:cNvSpPr>
          </xdr:nvSpPr>
          <xdr:spPr>
            <a:xfrm>
              <a:off x="2926080" y="17526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518160</xdr:colOff>
      <xdr:row>10</xdr:row>
      <xdr:rowOff>76200</xdr:rowOff>
    </xdr:from>
    <xdr:to>
      <xdr:col>6</xdr:col>
      <xdr:colOff>137160</xdr:colOff>
      <xdr:row>23</xdr:row>
      <xdr:rowOff>135255</xdr:rowOff>
    </xdr:to>
    <mc:AlternateContent xmlns:mc="http://schemas.openxmlformats.org/markup-compatibility/2006" xmlns:a14="http://schemas.microsoft.com/office/drawing/2010/main">
      <mc:Choice Requires="a14">
        <xdr:graphicFrame macro="">
          <xdr:nvGraphicFramePr>
            <xdr:cNvPr id="5" name="المنتج  1">
              <a:extLst>
                <a:ext uri="{FF2B5EF4-FFF2-40B4-BE49-F238E27FC236}">
                  <a16:creationId xmlns:a16="http://schemas.microsoft.com/office/drawing/2014/main" id="{22A1DDFE-84ED-4C2C-8E91-662219913AFF}"/>
                </a:ext>
              </a:extLst>
            </xdr:cNvPr>
            <xdr:cNvGraphicFramePr/>
          </xdr:nvGraphicFramePr>
          <xdr:xfrm>
            <a:off x="0" y="0"/>
            <a:ext cx="0" cy="0"/>
          </xdr:xfrm>
          <a:graphic>
            <a:graphicData uri="http://schemas.microsoft.com/office/drawing/2010/slicer">
              <sle:slicer xmlns:sle="http://schemas.microsoft.com/office/drawing/2010/slicer" name="المنتج  1"/>
            </a:graphicData>
          </a:graphic>
        </xdr:graphicFrame>
      </mc:Choice>
      <mc:Fallback xmlns="">
        <xdr:sp macro="" textlink="">
          <xdr:nvSpPr>
            <xdr:cNvPr id="0" name=""/>
            <xdr:cNvSpPr>
              <a:spLocks noTextEdit="1"/>
            </xdr:cNvSpPr>
          </xdr:nvSpPr>
          <xdr:spPr>
            <a:xfrm>
              <a:off x="4747260" y="17526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502920</xdr:colOff>
      <xdr:row>10</xdr:row>
      <xdr:rowOff>76200</xdr:rowOff>
    </xdr:from>
    <xdr:to>
      <xdr:col>20</xdr:col>
      <xdr:colOff>259080</xdr:colOff>
      <xdr:row>22</xdr:row>
      <xdr:rowOff>0</xdr:rowOff>
    </xdr:to>
    <xdr:graphicFrame macro="">
      <xdr:nvGraphicFramePr>
        <xdr:cNvPr id="2" name="Chart 1">
          <a:extLst>
            <a:ext uri="{FF2B5EF4-FFF2-40B4-BE49-F238E27FC236}">
              <a16:creationId xmlns:a16="http://schemas.microsoft.com/office/drawing/2014/main" id="{D93D48D5-6316-4C2F-A33D-26F896E5F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525780</xdr:colOff>
      <xdr:row>22</xdr:row>
      <xdr:rowOff>7620</xdr:rowOff>
    </xdr:from>
    <xdr:to>
      <xdr:col>11</xdr:col>
      <xdr:colOff>525780</xdr:colOff>
      <xdr:row>35</xdr:row>
      <xdr:rowOff>66675</xdr:rowOff>
    </xdr:to>
    <mc:AlternateContent xmlns:mc="http://schemas.openxmlformats.org/markup-compatibility/2006" xmlns:sle15="http://schemas.microsoft.com/office/drawing/2012/slicer">
      <mc:Choice Requires="sle15">
        <xdr:graphicFrame macro="">
          <xdr:nvGraphicFramePr>
            <xdr:cNvPr id="3" name="اسم العميل">
              <a:extLst>
                <a:ext uri="{FF2B5EF4-FFF2-40B4-BE49-F238E27FC236}">
                  <a16:creationId xmlns:a16="http://schemas.microsoft.com/office/drawing/2014/main" id="{A3900067-BB6A-4E2E-BC95-4601FD7BF395}"/>
                </a:ext>
              </a:extLst>
            </xdr:cNvPr>
            <xdr:cNvGraphicFramePr/>
          </xdr:nvGraphicFramePr>
          <xdr:xfrm>
            <a:off x="0" y="0"/>
            <a:ext cx="0" cy="0"/>
          </xdr:xfrm>
          <a:graphic>
            <a:graphicData uri="http://schemas.microsoft.com/office/drawing/2010/slicer">
              <sle:slicer xmlns:sle="http://schemas.microsoft.com/office/drawing/2010/slicer" name="اسم العميل"/>
            </a:graphicData>
          </a:graphic>
        </xdr:graphicFrame>
      </mc:Choice>
      <mc:Fallback xmlns="">
        <xdr:sp macro="" textlink="">
          <xdr:nvSpPr>
            <xdr:cNvPr id="0" name=""/>
            <xdr:cNvSpPr>
              <a:spLocks noTextEdit="1"/>
            </xdr:cNvSpPr>
          </xdr:nvSpPr>
          <xdr:spPr>
            <a:xfrm>
              <a:off x="6903720" y="36957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510540</xdr:colOff>
      <xdr:row>22</xdr:row>
      <xdr:rowOff>7620</xdr:rowOff>
    </xdr:from>
    <xdr:to>
      <xdr:col>14</xdr:col>
      <xdr:colOff>510540</xdr:colOff>
      <xdr:row>35</xdr:row>
      <xdr:rowOff>66675</xdr:rowOff>
    </xdr:to>
    <mc:AlternateContent xmlns:mc="http://schemas.openxmlformats.org/markup-compatibility/2006" xmlns:sle15="http://schemas.microsoft.com/office/drawing/2012/slicer">
      <mc:Choice Requires="sle15">
        <xdr:graphicFrame macro="">
          <xdr:nvGraphicFramePr>
            <xdr:cNvPr id="4" name="المنتج ">
              <a:extLst>
                <a:ext uri="{FF2B5EF4-FFF2-40B4-BE49-F238E27FC236}">
                  <a16:creationId xmlns:a16="http://schemas.microsoft.com/office/drawing/2014/main" id="{5593D839-C111-49BB-8A86-4389755C5B38}"/>
                </a:ext>
              </a:extLst>
            </xdr:cNvPr>
            <xdr:cNvGraphicFramePr/>
          </xdr:nvGraphicFramePr>
          <xdr:xfrm>
            <a:off x="0" y="0"/>
            <a:ext cx="0" cy="0"/>
          </xdr:xfrm>
          <a:graphic>
            <a:graphicData uri="http://schemas.microsoft.com/office/drawing/2010/slicer">
              <sle:slicer xmlns:sle="http://schemas.microsoft.com/office/drawing/2010/slicer" name="المنتج "/>
            </a:graphicData>
          </a:graphic>
        </xdr:graphicFrame>
      </mc:Choice>
      <mc:Fallback xmlns="">
        <xdr:sp macro="" textlink="">
          <xdr:nvSpPr>
            <xdr:cNvPr id="0" name=""/>
            <xdr:cNvSpPr>
              <a:spLocks noTextEdit="1"/>
            </xdr:cNvSpPr>
          </xdr:nvSpPr>
          <xdr:spPr>
            <a:xfrm>
              <a:off x="8717280" y="36957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1.393671412035" createdVersion="7" refreshedVersion="7" minRefreshableVersion="3" recordCount="50" xr:uid="{9755470F-6CDC-403E-B2F2-9900F1625925}">
  <cacheSource type="worksheet">
    <worksheetSource name="Table1"/>
  </cacheSource>
  <cacheFields count="8">
    <cacheField name="التاريخ " numFmtId="0">
      <sharedItems containsNonDate="0" containsDate="1" containsString="0" containsBlank="1" minDate="2026-02-04T00:00:00" maxDate="2026-02-13T00:00:00"/>
    </cacheField>
    <cacheField name="اسم العميل" numFmtId="0">
      <sharedItems count="10">
        <s v="أحمد"/>
        <s v="محمد"/>
        <s v="علي"/>
        <s v="خالد"/>
        <s v="حامد"/>
        <s v="عثمان"/>
        <s v="امجد "/>
        <s v="سمير"/>
        <s v="ياسر"/>
        <s v="انا"/>
      </sharedItems>
    </cacheField>
    <cacheField name="المنتج " numFmtId="0">
      <sharedItems count="8">
        <s v="بسكويت"/>
        <s v="صلصة"/>
        <s v="شاي أخضر "/>
        <s v="بن"/>
        <s v="زنجبيل"/>
        <s v="شاي أخضر"/>
        <s v="قهوة"/>
        <s v="ذهب "/>
      </sharedItems>
    </cacheField>
    <cacheField name="الكمية " numFmtId="0">
      <sharedItems containsString="0" containsBlank="1" containsNumber="1" containsInteger="1" minValue="5" maxValue="9"/>
    </cacheField>
    <cacheField name="السعر" numFmtId="44">
      <sharedItems containsString="0" containsBlank="1" containsNumber="1" containsInteger="1" minValue="13" maxValue="60"/>
    </cacheField>
    <cacheField name="الاجمالي " numFmtId="44">
      <sharedItems containsSemiMixedTypes="0" containsString="0" containsNumber="1" containsInteger="1" minValue="65" maxValue="5000"/>
    </cacheField>
    <cacheField name="discount" numFmtId="44">
      <sharedItems containsSemiMixedTypes="0" containsString="0" containsNumber="1" minValue="6.5" maxValue="500"/>
    </cacheField>
    <cacheField name="Net_Total" numFmtId="44">
      <sharedItems containsSemiMixedTypes="0" containsString="0" containsNumber="1" minValue="58.5" maxValue="4500"/>
    </cacheField>
  </cacheFields>
  <extLst>
    <ext xmlns:x14="http://schemas.microsoft.com/office/spreadsheetml/2009/9/main" uri="{725AE2AE-9491-48be-B2B4-4EB974FC3084}">
      <x14:pivotCacheDefinition pivotCacheId="17718356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6-02-04T00:00:00"/>
    <x v="0"/>
    <x v="0"/>
    <n v="5"/>
    <n v="20"/>
    <n v="100"/>
    <n v="10"/>
    <n v="90"/>
  </r>
  <r>
    <d v="2026-02-05T00:00:00"/>
    <x v="1"/>
    <x v="1"/>
    <n v="5"/>
    <n v="20"/>
    <n v="100"/>
    <n v="10"/>
    <n v="90"/>
  </r>
  <r>
    <d v="2026-02-06T00:00:00"/>
    <x v="2"/>
    <x v="2"/>
    <n v="5"/>
    <n v="50"/>
    <n v="250"/>
    <n v="25"/>
    <n v="225"/>
  </r>
  <r>
    <d v="2026-02-07T00:00:00"/>
    <x v="3"/>
    <x v="3"/>
    <n v="5"/>
    <n v="20"/>
    <n v="100"/>
    <n v="10"/>
    <n v="90"/>
  </r>
  <r>
    <d v="2026-02-08T00:00:00"/>
    <x v="4"/>
    <x v="4"/>
    <n v="5"/>
    <n v="13"/>
    <n v="65"/>
    <n v="6.5"/>
    <n v="58.5"/>
  </r>
  <r>
    <d v="2026-02-09T00:00:00"/>
    <x v="5"/>
    <x v="5"/>
    <n v="9"/>
    <n v="50"/>
    <n v="450"/>
    <n v="45"/>
    <n v="405"/>
  </r>
  <r>
    <d v="2026-02-10T00:00:00"/>
    <x v="6"/>
    <x v="5"/>
    <n v="8"/>
    <n v="60"/>
    <n v="480"/>
    <n v="48"/>
    <n v="432"/>
  </r>
  <r>
    <d v="2026-02-11T00:00:00"/>
    <x v="7"/>
    <x v="5"/>
    <n v="7"/>
    <n v="50"/>
    <n v="350"/>
    <n v="35"/>
    <n v="315"/>
  </r>
  <r>
    <d v="2026-02-12T00:00:00"/>
    <x v="8"/>
    <x v="6"/>
    <n v="5"/>
    <n v="20"/>
    <n v="100"/>
    <n v="10"/>
    <n v="90"/>
  </r>
  <r>
    <d v="2026-02-04T00:00:00"/>
    <x v="0"/>
    <x v="0"/>
    <n v="5"/>
    <n v="20"/>
    <n v="100"/>
    <n v="10"/>
    <n v="90"/>
  </r>
  <r>
    <d v="2026-02-05T00:00:00"/>
    <x v="1"/>
    <x v="1"/>
    <n v="5"/>
    <n v="20"/>
    <n v="100"/>
    <n v="10"/>
    <n v="90"/>
  </r>
  <r>
    <d v="2026-02-06T00:00:00"/>
    <x v="2"/>
    <x v="2"/>
    <n v="5"/>
    <n v="50"/>
    <n v="250"/>
    <n v="25"/>
    <n v="225"/>
  </r>
  <r>
    <d v="2026-02-07T00:00:00"/>
    <x v="3"/>
    <x v="3"/>
    <n v="5"/>
    <n v="20"/>
    <n v="100"/>
    <n v="10"/>
    <n v="90"/>
  </r>
  <r>
    <d v="2026-02-08T00:00:00"/>
    <x v="4"/>
    <x v="4"/>
    <n v="5"/>
    <n v="13"/>
    <n v="65"/>
    <n v="6.5"/>
    <n v="58.5"/>
  </r>
  <r>
    <d v="2026-02-09T00:00:00"/>
    <x v="5"/>
    <x v="5"/>
    <n v="9"/>
    <n v="50"/>
    <n v="450"/>
    <n v="45"/>
    <n v="405"/>
  </r>
  <r>
    <d v="2026-02-10T00:00:00"/>
    <x v="6"/>
    <x v="5"/>
    <n v="8"/>
    <n v="60"/>
    <n v="480"/>
    <n v="48"/>
    <n v="432"/>
  </r>
  <r>
    <d v="2026-02-11T00:00:00"/>
    <x v="7"/>
    <x v="5"/>
    <n v="7"/>
    <n v="50"/>
    <n v="350"/>
    <n v="35"/>
    <n v="315"/>
  </r>
  <r>
    <d v="2026-02-12T00:00:00"/>
    <x v="8"/>
    <x v="6"/>
    <n v="5"/>
    <n v="20"/>
    <n v="100"/>
    <n v="10"/>
    <n v="90"/>
  </r>
  <r>
    <d v="2026-02-04T00:00:00"/>
    <x v="0"/>
    <x v="0"/>
    <n v="5"/>
    <n v="20"/>
    <n v="100"/>
    <n v="10"/>
    <n v="90"/>
  </r>
  <r>
    <d v="2026-02-05T00:00:00"/>
    <x v="1"/>
    <x v="1"/>
    <n v="5"/>
    <n v="20"/>
    <n v="100"/>
    <n v="10"/>
    <n v="90"/>
  </r>
  <r>
    <d v="2026-02-06T00:00:00"/>
    <x v="2"/>
    <x v="2"/>
    <n v="5"/>
    <n v="50"/>
    <n v="250"/>
    <n v="25"/>
    <n v="225"/>
  </r>
  <r>
    <d v="2026-02-07T00:00:00"/>
    <x v="3"/>
    <x v="3"/>
    <n v="5"/>
    <n v="20"/>
    <n v="100"/>
    <n v="10"/>
    <n v="90"/>
  </r>
  <r>
    <d v="2026-02-08T00:00:00"/>
    <x v="4"/>
    <x v="4"/>
    <n v="5"/>
    <n v="13"/>
    <n v="65"/>
    <n v="6.5"/>
    <n v="58.5"/>
  </r>
  <r>
    <d v="2026-02-09T00:00:00"/>
    <x v="5"/>
    <x v="5"/>
    <n v="9"/>
    <n v="50"/>
    <n v="450"/>
    <n v="45"/>
    <n v="405"/>
  </r>
  <r>
    <d v="2026-02-10T00:00:00"/>
    <x v="6"/>
    <x v="5"/>
    <n v="8"/>
    <n v="60"/>
    <n v="480"/>
    <n v="48"/>
    <n v="432"/>
  </r>
  <r>
    <d v="2026-02-11T00:00:00"/>
    <x v="7"/>
    <x v="5"/>
    <n v="7"/>
    <n v="50"/>
    <n v="350"/>
    <n v="35"/>
    <n v="315"/>
  </r>
  <r>
    <d v="2026-02-12T00:00:00"/>
    <x v="8"/>
    <x v="6"/>
    <n v="5"/>
    <n v="20"/>
    <n v="100"/>
    <n v="10"/>
    <n v="90"/>
  </r>
  <r>
    <d v="2026-02-04T00:00:00"/>
    <x v="0"/>
    <x v="0"/>
    <n v="5"/>
    <n v="20"/>
    <n v="100"/>
    <n v="10"/>
    <n v="90"/>
  </r>
  <r>
    <d v="2026-02-05T00:00:00"/>
    <x v="1"/>
    <x v="1"/>
    <n v="5"/>
    <n v="20"/>
    <n v="100"/>
    <n v="10"/>
    <n v="90"/>
  </r>
  <r>
    <d v="2026-02-06T00:00:00"/>
    <x v="2"/>
    <x v="2"/>
    <n v="5"/>
    <n v="50"/>
    <n v="250"/>
    <n v="25"/>
    <n v="225"/>
  </r>
  <r>
    <d v="2026-02-07T00:00:00"/>
    <x v="3"/>
    <x v="3"/>
    <n v="5"/>
    <n v="20"/>
    <n v="100"/>
    <n v="10"/>
    <n v="90"/>
  </r>
  <r>
    <d v="2026-02-08T00:00:00"/>
    <x v="4"/>
    <x v="4"/>
    <n v="5"/>
    <n v="13"/>
    <n v="65"/>
    <n v="6.5"/>
    <n v="58.5"/>
  </r>
  <r>
    <d v="2026-02-09T00:00:00"/>
    <x v="5"/>
    <x v="5"/>
    <n v="9"/>
    <n v="50"/>
    <n v="450"/>
    <n v="45"/>
    <n v="405"/>
  </r>
  <r>
    <d v="2026-02-10T00:00:00"/>
    <x v="6"/>
    <x v="5"/>
    <n v="8"/>
    <n v="60"/>
    <n v="480"/>
    <n v="48"/>
    <n v="432"/>
  </r>
  <r>
    <d v="2026-02-11T00:00:00"/>
    <x v="7"/>
    <x v="5"/>
    <n v="7"/>
    <n v="50"/>
    <n v="350"/>
    <n v="35"/>
    <n v="315"/>
  </r>
  <r>
    <d v="2026-02-12T00:00:00"/>
    <x v="8"/>
    <x v="6"/>
    <n v="5"/>
    <n v="20"/>
    <n v="100"/>
    <n v="10"/>
    <n v="90"/>
  </r>
  <r>
    <d v="2026-02-09T00:00:00"/>
    <x v="5"/>
    <x v="5"/>
    <n v="9"/>
    <n v="50"/>
    <n v="450"/>
    <n v="45"/>
    <n v="405"/>
  </r>
  <r>
    <d v="2026-02-10T00:00:00"/>
    <x v="6"/>
    <x v="5"/>
    <n v="8"/>
    <n v="60"/>
    <n v="480"/>
    <n v="48"/>
    <n v="432"/>
  </r>
  <r>
    <d v="2026-02-11T00:00:00"/>
    <x v="7"/>
    <x v="5"/>
    <n v="7"/>
    <n v="50"/>
    <n v="350"/>
    <n v="35"/>
    <n v="315"/>
  </r>
  <r>
    <d v="2026-02-12T00:00:00"/>
    <x v="8"/>
    <x v="6"/>
    <n v="5"/>
    <n v="20"/>
    <n v="100"/>
    <n v="10"/>
    <n v="90"/>
  </r>
  <r>
    <d v="2026-02-04T00:00:00"/>
    <x v="0"/>
    <x v="0"/>
    <n v="5"/>
    <n v="20"/>
    <n v="100"/>
    <n v="10"/>
    <n v="90"/>
  </r>
  <r>
    <d v="2026-02-05T00:00:00"/>
    <x v="1"/>
    <x v="1"/>
    <n v="5"/>
    <n v="20"/>
    <n v="100"/>
    <n v="10"/>
    <n v="90"/>
  </r>
  <r>
    <d v="2026-02-06T00:00:00"/>
    <x v="2"/>
    <x v="2"/>
    <n v="5"/>
    <n v="50"/>
    <n v="250"/>
    <n v="25"/>
    <n v="225"/>
  </r>
  <r>
    <d v="2026-02-07T00:00:00"/>
    <x v="3"/>
    <x v="3"/>
    <n v="5"/>
    <n v="20"/>
    <n v="100"/>
    <n v="10"/>
    <n v="90"/>
  </r>
  <r>
    <d v="2026-02-08T00:00:00"/>
    <x v="4"/>
    <x v="4"/>
    <n v="5"/>
    <n v="13"/>
    <n v="65"/>
    <n v="6.5"/>
    <n v="58.5"/>
  </r>
  <r>
    <d v="2026-02-09T00:00:00"/>
    <x v="5"/>
    <x v="5"/>
    <n v="9"/>
    <n v="50"/>
    <n v="450"/>
    <n v="45"/>
    <n v="405"/>
  </r>
  <r>
    <d v="2026-02-10T00:00:00"/>
    <x v="6"/>
    <x v="5"/>
    <n v="8"/>
    <n v="60"/>
    <n v="480"/>
    <n v="48"/>
    <n v="432"/>
  </r>
  <r>
    <d v="2026-02-11T00:00:00"/>
    <x v="7"/>
    <x v="5"/>
    <n v="7"/>
    <n v="50"/>
    <n v="350"/>
    <n v="35"/>
    <n v="315"/>
  </r>
  <r>
    <d v="2026-02-12T00:00:00"/>
    <x v="8"/>
    <x v="6"/>
    <n v="5"/>
    <n v="20"/>
    <n v="100"/>
    <n v="10"/>
    <n v="90"/>
  </r>
  <r>
    <m/>
    <x v="9"/>
    <x v="7"/>
    <m/>
    <m/>
    <n v="5000"/>
    <n v="500"/>
    <n v="4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2D4195-4D7A-437E-A8B4-CE55B14A59E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22" firstHeaderRow="1" firstDataRow="1" firstDataCol="1"/>
  <pivotFields count="8">
    <pivotField numFmtId="14" showAll="0"/>
    <pivotField axis="axisRow" showAll="0">
      <items count="11">
        <item x="0"/>
        <item x="6"/>
        <item x="4"/>
        <item x="3"/>
        <item x="7"/>
        <item x="5"/>
        <item x="2"/>
        <item x="1"/>
        <item x="8"/>
        <item x="9"/>
        <item t="default"/>
      </items>
    </pivotField>
    <pivotField axis="axisRow" showAll="0">
      <items count="9">
        <item x="0"/>
        <item x="3"/>
        <item x="4"/>
        <item x="5"/>
        <item x="2"/>
        <item x="1"/>
        <item x="6"/>
        <item x="7"/>
        <item t="default"/>
      </items>
    </pivotField>
    <pivotField showAll="0"/>
    <pivotField numFmtId="44" showAll="0"/>
    <pivotField numFmtId="44" showAll="0"/>
    <pivotField numFmtId="44" showAll="0"/>
    <pivotField dataField="1" numFmtId="44" showAll="0"/>
  </pivotFields>
  <rowFields count="2">
    <field x="2"/>
    <field x="1"/>
  </rowFields>
  <rowItems count="19">
    <i>
      <x/>
    </i>
    <i r="1">
      <x/>
    </i>
    <i>
      <x v="1"/>
    </i>
    <i r="1">
      <x v="3"/>
    </i>
    <i>
      <x v="2"/>
    </i>
    <i r="1">
      <x v="2"/>
    </i>
    <i>
      <x v="3"/>
    </i>
    <i r="1">
      <x v="1"/>
    </i>
    <i r="1">
      <x v="4"/>
    </i>
    <i r="1">
      <x v="5"/>
    </i>
    <i>
      <x v="4"/>
    </i>
    <i r="1">
      <x v="6"/>
    </i>
    <i>
      <x v="5"/>
    </i>
    <i r="1">
      <x v="7"/>
    </i>
    <i>
      <x v="6"/>
    </i>
    <i r="1">
      <x v="8"/>
    </i>
    <i>
      <x v="7"/>
    </i>
    <i r="1">
      <x v="9"/>
    </i>
    <i t="grand">
      <x/>
    </i>
  </rowItems>
  <colItems count="1">
    <i/>
  </colItems>
  <dataFields count="1">
    <dataField name="Sum of Net_Total"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عميل1" xr10:uid="{2BB181C3-2089-4FE8-BCD1-DF74990D635F}" sourceName="اسم العميل">
  <pivotTables>
    <pivotTable tabId="3" name="PivotTable1"/>
  </pivotTables>
  <data>
    <tabular pivotCacheId="1771835602">
      <items count="10">
        <i x="0" s="1"/>
        <i x="6" s="1"/>
        <i x="9" s="1"/>
        <i x="4" s="1"/>
        <i x="3" s="1"/>
        <i x="7" s="1"/>
        <i x="5" s="1"/>
        <i x="2" s="1"/>
        <i x="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1" xr10:uid="{16205EF4-1C43-44AD-980E-CA961996AD04}" sourceName="المنتج ">
  <pivotTables>
    <pivotTable tabId="3" name="PivotTable1"/>
  </pivotTables>
  <data>
    <tabular pivotCacheId="1771835602">
      <items count="8">
        <i x="0" s="1"/>
        <i x="3" s="1"/>
        <i x="7" s="1"/>
        <i x="4" s="1"/>
        <i x="5" s="1"/>
        <i x="2"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عميل" xr10:uid="{4D7FD191-63C0-443B-B032-4A17B8112C75}" sourceName="اسم العميل">
  <extLst>
    <x:ext xmlns:x15="http://schemas.microsoft.com/office/spreadsheetml/2010/11/main" uri="{2F2917AC-EB37-4324-AD4E-5DD8C200BD13}">
      <x15:tableSlicerCache tableId="1"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 xr10:uid="{6E1A9FF2-41EB-46E3-BE5B-E89AE0A18EC4}" sourceName="المنتج ">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سم العميل 2" xr10:uid="{5B76C514-A7F8-4D4F-8074-6DFDAB37B41D}" cache="Slicer_اسم_العميل1" caption="اسم العميل" rowHeight="209550"/>
  <slicer name="المنتج  1" xr10:uid="{5FAFDEBF-4EB8-410E-98CF-2F56F18DEFC1}" cache="Slicer_المنتج1" caption="المنتج "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سم العميل" xr10:uid="{9501D2D0-4719-4418-AE62-4FAAD5783313}" cache="Slicer_اسم_العميل" caption="اسم العميل" startItem="2" rowHeight="209550"/>
  <slicer name="المنتج " xr10:uid="{D5871921-EC39-4242-AE2D-12F26DEC852C}" cache="Slicer_المنتج" caption="المنتج "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A8998B-A798-4E05-8AAD-DCABC0620503}" name="Table1" displayName="Table1" ref="A1:H51" headerRowDxfId="19" dataDxfId="18" totalsRowDxfId="16" tableBorderDxfId="17">
  <autoFilter ref="A1:H51" xr:uid="{13A8998B-A798-4E05-8AAD-DCABC0620503}"/>
  <tableColumns count="8">
    <tableColumn id="1" xr3:uid="{3695F7A4-D0AB-42D8-BAE6-F4B98EA91477}" name="التاريخ " totalsRowLabel="Total" dataDxfId="15" totalsRowDxfId="14"/>
    <tableColumn id="2" xr3:uid="{C06E8B28-BE4E-45D1-BA70-A020671995B8}" name="اسم العميل" dataDxfId="13" totalsRowDxfId="12"/>
    <tableColumn id="3" xr3:uid="{7F91D7C1-FFEA-4014-9BFB-A32848DB3D21}" name="المنتج " totalsRowLabel="شاي أخضر " dataDxfId="11" totalsRowDxfId="10"/>
    <tableColumn id="4" xr3:uid="{E14F76E2-2789-4E17-8A4D-1DFD136FFFBD}" name="الكمية " totalsRowLabel="7" dataDxfId="9" totalsRowDxfId="8"/>
    <tableColumn id="5" xr3:uid="{6B1A8866-9A83-4489-B133-B47EA5316187}" name="السعر" totalsRowLabel="50" dataDxfId="7" totalsRowDxfId="6" dataCellStyle="Currency"/>
    <tableColumn id="6" xr3:uid="{E03E3BF6-B670-4950-9A6B-F76F7A9E9B7F}" name="الاجمالي " dataDxfId="5" totalsRowDxfId="4" dataCellStyle="Currency">
      <calculatedColumnFormula>D2*E2</calculatedColumnFormula>
    </tableColumn>
    <tableColumn id="7" xr3:uid="{EA97A30A-1F71-4D00-BA52-AADF30F13E57}" name="discount" totalsRowFunction="sum" dataDxfId="3" totalsRowDxfId="2" dataCellStyle="Currency">
      <calculatedColumnFormula>F2*10%</calculatedColumnFormula>
    </tableColumn>
    <tableColumn id="8" xr3:uid="{9767823A-9A36-42C3-AF11-6F668D9DDBDD}" name="Net_Total" dataDxfId="1" totalsRowDxfId="0" dataCellStyle="Currency">
      <calculatedColumnFormula>F2-G2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microsoft.com/office/2007/relationships/slicer" Target="../slicers/slicer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zoomScaleNormal="100" workbookViewId="0">
      <selection activeCell="B8" sqref="B8"/>
    </sheetView>
  </sheetViews>
  <sheetFormatPr defaultColWidth="11.5546875" defaultRowHeight="13.2" x14ac:dyDescent="0.25"/>
  <sheetData>
    <row r="1" spans="1:2" x14ac:dyDescent="0.25">
      <c r="A1" t="s">
        <v>0</v>
      </c>
      <c r="B1" s="1" t="s">
        <v>1</v>
      </c>
    </row>
    <row r="2" spans="1:2" x14ac:dyDescent="0.25">
      <c r="A2" t="s">
        <v>2</v>
      </c>
      <c r="B2">
        <v>1000</v>
      </c>
    </row>
    <row r="3" spans="1:2" x14ac:dyDescent="0.25">
      <c r="A3" t="s">
        <v>0</v>
      </c>
      <c r="B3">
        <v>-200</v>
      </c>
    </row>
    <row r="4" spans="1:2" x14ac:dyDescent="0.25">
      <c r="A4" t="s">
        <v>2</v>
      </c>
      <c r="B4">
        <v>300</v>
      </c>
    </row>
    <row r="5" spans="1:2" x14ac:dyDescent="0.25">
      <c r="A5" t="s">
        <v>0</v>
      </c>
      <c r="B5">
        <v>-130</v>
      </c>
    </row>
    <row r="6" spans="1:2" x14ac:dyDescent="0.25">
      <c r="A6" t="s">
        <v>2</v>
      </c>
    </row>
    <row r="7" spans="1:2" x14ac:dyDescent="0.25">
      <c r="A7" t="s">
        <v>0</v>
      </c>
      <c r="B7">
        <f>SUM(B2:B5)</f>
        <v>970</v>
      </c>
    </row>
    <row r="8" spans="1:2" x14ac:dyDescent="0.25">
      <c r="A8" t="s">
        <v>0</v>
      </c>
      <c r="B8">
        <f>AVERAGE(B2:B5)</f>
        <v>242.5</v>
      </c>
    </row>
  </sheetData>
  <conditionalFormatting sqref="A1:A10">
    <cfRule type="cellIs" dxfId="25" priority="2" operator="equal">
      <formula>"fail"</formula>
    </cfRule>
  </conditionalFormatting>
  <conditionalFormatting sqref="A1:A10">
    <cfRule type="cellIs" dxfId="24" priority="3" operator="equal">
      <formula>"success"</formula>
    </cfRule>
  </conditionalFormatting>
  <conditionalFormatting sqref="B1:B5">
    <cfRule type="cellIs" dxfId="23" priority="4" operator="lessThan">
      <formula>1</formula>
    </cfRule>
    <cfRule type="cellIs" dxfId="22" priority="5" operator="lessThan">
      <formula>1</formula>
    </cfRule>
    <cfRule type="cellIs" dxfId="21" priority="6" operator="lessThan">
      <formula>1</formula>
    </cfRule>
    <cfRule type="cellIs" dxfId="20" priority="7" operator="greaterThan">
      <formula>1</formula>
    </cfRule>
  </conditionalFormatting>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10E89-E379-4811-A07B-8F03A351A145}">
  <sheetPr>
    <pageSetUpPr fitToPage="1"/>
  </sheetPr>
  <dimension ref="A3:B22"/>
  <sheetViews>
    <sheetView showGridLines="0" topLeftCell="A10" workbookViewId="0">
      <selection activeCell="H30" sqref="H30"/>
    </sheetView>
  </sheetViews>
  <sheetFormatPr defaultRowHeight="13.2" x14ac:dyDescent="0.25"/>
  <cols>
    <col min="1" max="1" width="13.33203125" bestFit="1" customWidth="1"/>
    <col min="2" max="6" width="16.109375" bestFit="1" customWidth="1"/>
  </cols>
  <sheetData>
    <row r="3" spans="1:2" x14ac:dyDescent="0.25">
      <c r="A3" s="16" t="s">
        <v>27</v>
      </c>
      <c r="B3" t="s">
        <v>29</v>
      </c>
    </row>
    <row r="4" spans="1:2" x14ac:dyDescent="0.25">
      <c r="A4" s="18" t="s">
        <v>13</v>
      </c>
      <c r="B4">
        <v>450</v>
      </c>
    </row>
    <row r="5" spans="1:2" x14ac:dyDescent="0.25">
      <c r="A5" s="17" t="s">
        <v>8</v>
      </c>
      <c r="B5">
        <v>450</v>
      </c>
    </row>
    <row r="6" spans="1:2" x14ac:dyDescent="0.25">
      <c r="A6" s="18" t="s">
        <v>15</v>
      </c>
      <c r="B6">
        <v>450</v>
      </c>
    </row>
    <row r="7" spans="1:2" x14ac:dyDescent="0.25">
      <c r="A7" s="17" t="s">
        <v>11</v>
      </c>
      <c r="B7">
        <v>450</v>
      </c>
    </row>
    <row r="8" spans="1:2" x14ac:dyDescent="0.25">
      <c r="A8" s="18" t="s">
        <v>16</v>
      </c>
      <c r="B8">
        <v>292.5</v>
      </c>
    </row>
    <row r="9" spans="1:2" x14ac:dyDescent="0.25">
      <c r="A9" s="17" t="s">
        <v>12</v>
      </c>
      <c r="B9">
        <v>292.5</v>
      </c>
    </row>
    <row r="10" spans="1:2" x14ac:dyDescent="0.25">
      <c r="A10" s="18" t="s">
        <v>20</v>
      </c>
      <c r="B10">
        <v>6912</v>
      </c>
    </row>
    <row r="11" spans="1:2" x14ac:dyDescent="0.25">
      <c r="A11" s="17" t="s">
        <v>23</v>
      </c>
      <c r="B11">
        <v>2592</v>
      </c>
    </row>
    <row r="12" spans="1:2" x14ac:dyDescent="0.25">
      <c r="A12" s="17" t="s">
        <v>24</v>
      </c>
      <c r="B12">
        <v>1890</v>
      </c>
    </row>
    <row r="13" spans="1:2" x14ac:dyDescent="0.25">
      <c r="A13" s="17" t="s">
        <v>22</v>
      </c>
      <c r="B13">
        <v>2430</v>
      </c>
    </row>
    <row r="14" spans="1:2" x14ac:dyDescent="0.25">
      <c r="A14" s="18" t="s">
        <v>19</v>
      </c>
      <c r="B14">
        <v>1125</v>
      </c>
    </row>
    <row r="15" spans="1:2" x14ac:dyDescent="0.25">
      <c r="A15" s="17" t="s">
        <v>10</v>
      </c>
      <c r="B15">
        <v>1125</v>
      </c>
    </row>
    <row r="16" spans="1:2" x14ac:dyDescent="0.25">
      <c r="A16" s="18" t="s">
        <v>14</v>
      </c>
      <c r="B16">
        <v>450</v>
      </c>
    </row>
    <row r="17" spans="1:2" x14ac:dyDescent="0.25">
      <c r="A17" s="17" t="s">
        <v>9</v>
      </c>
      <c r="B17">
        <v>450</v>
      </c>
    </row>
    <row r="18" spans="1:2" x14ac:dyDescent="0.25">
      <c r="A18" s="18" t="s">
        <v>26</v>
      </c>
      <c r="B18">
        <v>540</v>
      </c>
    </row>
    <row r="19" spans="1:2" x14ac:dyDescent="0.25">
      <c r="A19" s="17" t="s">
        <v>25</v>
      </c>
      <c r="B19">
        <v>540</v>
      </c>
    </row>
    <row r="20" spans="1:2" x14ac:dyDescent="0.25">
      <c r="A20" s="18" t="s">
        <v>31</v>
      </c>
      <c r="B20">
        <v>4500</v>
      </c>
    </row>
    <row r="21" spans="1:2" x14ac:dyDescent="0.25">
      <c r="A21" s="17" t="s">
        <v>30</v>
      </c>
      <c r="B21">
        <v>4500</v>
      </c>
    </row>
    <row r="22" spans="1:2" x14ac:dyDescent="0.25">
      <c r="A22" s="18" t="s">
        <v>28</v>
      </c>
      <c r="B22">
        <v>14719.5</v>
      </c>
    </row>
  </sheetData>
  <printOptions horizontalCentered="1"/>
  <pageMargins left="0.7" right="0.7" top="0.75" bottom="0.75" header="0.3" footer="0.3"/>
  <pageSetup scale="56"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F124A-3CEA-44E3-9648-FBBFD1445FAB}">
  <dimension ref="A1:O51"/>
  <sheetViews>
    <sheetView showGridLines="0" tabSelected="1" workbookViewId="0">
      <pane ySplit="1" topLeftCell="A20" activePane="bottomLeft" state="frozen"/>
      <selection pane="bottomLeft" activeCell="C38" sqref="C38"/>
    </sheetView>
  </sheetViews>
  <sheetFormatPr defaultRowHeight="13.2" x14ac:dyDescent="0.25"/>
  <cols>
    <col min="1" max="1" width="10.33203125" bestFit="1" customWidth="1"/>
    <col min="2" max="2" width="12" bestFit="1" customWidth="1"/>
    <col min="3" max="3" width="9.88671875" bestFit="1" customWidth="1"/>
    <col min="4" max="4" width="9.6640625" bestFit="1" customWidth="1"/>
    <col min="5" max="5" width="13.21875" bestFit="1" customWidth="1"/>
    <col min="6" max="6" width="11.109375" bestFit="1" customWidth="1"/>
    <col min="7" max="7" width="13" bestFit="1" customWidth="1"/>
    <col min="8" max="8" width="13.77734375" bestFit="1" customWidth="1"/>
  </cols>
  <sheetData>
    <row r="1" spans="1:15" x14ac:dyDescent="0.25">
      <c r="A1" s="2" t="s">
        <v>3</v>
      </c>
      <c r="B1" s="3" t="s">
        <v>4</v>
      </c>
      <c r="C1" s="3" t="s">
        <v>5</v>
      </c>
      <c r="D1" s="3" t="s">
        <v>6</v>
      </c>
      <c r="E1" s="8" t="s">
        <v>21</v>
      </c>
      <c r="F1" s="8" t="s">
        <v>7</v>
      </c>
      <c r="G1" s="9" t="s">
        <v>17</v>
      </c>
      <c r="H1" s="9" t="s">
        <v>18</v>
      </c>
    </row>
    <row r="2" spans="1:15" x14ac:dyDescent="0.25">
      <c r="A2" s="4">
        <v>46057</v>
      </c>
      <c r="B2" s="5" t="s">
        <v>8</v>
      </c>
      <c r="C2" s="5" t="s">
        <v>13</v>
      </c>
      <c r="D2" s="5">
        <v>5</v>
      </c>
      <c r="E2" s="6">
        <v>20</v>
      </c>
      <c r="F2" s="6">
        <f>D2*E2</f>
        <v>100</v>
      </c>
      <c r="G2" s="10">
        <f>F2*10%</f>
        <v>10</v>
      </c>
      <c r="H2" s="11">
        <f t="shared" ref="H2:H9" si="0">F2-G2</f>
        <v>90</v>
      </c>
    </row>
    <row r="3" spans="1:15" x14ac:dyDescent="0.25">
      <c r="A3" s="4">
        <v>46058</v>
      </c>
      <c r="B3" s="5" t="s">
        <v>9</v>
      </c>
      <c r="C3" s="5" t="s">
        <v>14</v>
      </c>
      <c r="D3" s="5">
        <v>5</v>
      </c>
      <c r="E3" s="6">
        <v>20</v>
      </c>
      <c r="F3" s="6">
        <f t="shared" ref="F3:F9" si="1">D3*E3</f>
        <v>100</v>
      </c>
      <c r="G3" s="10">
        <f t="shared" ref="G3:G6" si="2">F3*10%</f>
        <v>10</v>
      </c>
      <c r="H3" s="6">
        <f t="shared" si="0"/>
        <v>90</v>
      </c>
    </row>
    <row r="4" spans="1:15" x14ac:dyDescent="0.25">
      <c r="A4" s="4">
        <v>46059</v>
      </c>
      <c r="B4" s="5" t="s">
        <v>10</v>
      </c>
      <c r="C4" s="5" t="s">
        <v>19</v>
      </c>
      <c r="D4" s="5">
        <v>5</v>
      </c>
      <c r="E4" s="6">
        <v>50</v>
      </c>
      <c r="F4" s="6">
        <f t="shared" si="1"/>
        <v>250</v>
      </c>
      <c r="G4" s="10">
        <f t="shared" si="2"/>
        <v>25</v>
      </c>
      <c r="H4" s="6">
        <f t="shared" si="0"/>
        <v>225</v>
      </c>
    </row>
    <row r="5" spans="1:15" x14ac:dyDescent="0.25">
      <c r="A5" s="4">
        <v>46060</v>
      </c>
      <c r="B5" s="5" t="s">
        <v>11</v>
      </c>
      <c r="C5" s="5" t="s">
        <v>15</v>
      </c>
      <c r="D5" s="5">
        <v>5</v>
      </c>
      <c r="E5" s="6">
        <v>20</v>
      </c>
      <c r="F5" s="6">
        <f t="shared" si="1"/>
        <v>100</v>
      </c>
      <c r="G5" s="10">
        <f t="shared" si="2"/>
        <v>10</v>
      </c>
      <c r="H5" s="6">
        <f t="shared" si="0"/>
        <v>90</v>
      </c>
    </row>
    <row r="6" spans="1:15" x14ac:dyDescent="0.25">
      <c r="A6" s="4">
        <v>46061</v>
      </c>
      <c r="B6" s="5" t="s">
        <v>12</v>
      </c>
      <c r="C6" s="5" t="s">
        <v>16</v>
      </c>
      <c r="D6" s="5">
        <v>5</v>
      </c>
      <c r="E6" s="6">
        <v>13</v>
      </c>
      <c r="F6" s="6">
        <f t="shared" si="1"/>
        <v>65</v>
      </c>
      <c r="G6" s="10">
        <f t="shared" si="2"/>
        <v>6.5</v>
      </c>
      <c r="H6" s="12">
        <f t="shared" si="0"/>
        <v>58.5</v>
      </c>
    </row>
    <row r="7" spans="1:15" x14ac:dyDescent="0.25">
      <c r="A7" s="4">
        <v>46062</v>
      </c>
      <c r="B7" s="5" t="s">
        <v>22</v>
      </c>
      <c r="C7" s="7" t="s">
        <v>20</v>
      </c>
      <c r="D7" s="5">
        <v>9</v>
      </c>
      <c r="E7" s="6">
        <v>50</v>
      </c>
      <c r="F7" s="6">
        <f t="shared" si="1"/>
        <v>450</v>
      </c>
      <c r="G7" s="10">
        <f t="shared" ref="G7:G9" si="3">F7*10%</f>
        <v>45</v>
      </c>
      <c r="H7" s="12">
        <f t="shared" si="0"/>
        <v>405</v>
      </c>
    </row>
    <row r="8" spans="1:15" x14ac:dyDescent="0.25">
      <c r="A8" s="4">
        <v>46063</v>
      </c>
      <c r="B8" s="5" t="s">
        <v>23</v>
      </c>
      <c r="C8" s="7" t="s">
        <v>20</v>
      </c>
      <c r="D8" s="5">
        <v>8</v>
      </c>
      <c r="E8" s="6">
        <v>60</v>
      </c>
      <c r="F8" s="6">
        <f t="shared" si="1"/>
        <v>480</v>
      </c>
      <c r="G8" s="10">
        <f t="shared" si="3"/>
        <v>48</v>
      </c>
      <c r="H8" s="12">
        <f t="shared" si="0"/>
        <v>432</v>
      </c>
    </row>
    <row r="9" spans="1:15" x14ac:dyDescent="0.25">
      <c r="A9" s="4">
        <v>46064</v>
      </c>
      <c r="B9" s="5" t="s">
        <v>24</v>
      </c>
      <c r="C9" s="7" t="s">
        <v>20</v>
      </c>
      <c r="D9" s="5">
        <v>7</v>
      </c>
      <c r="E9" s="6">
        <v>50</v>
      </c>
      <c r="F9" s="6">
        <f t="shared" si="1"/>
        <v>350</v>
      </c>
      <c r="G9" s="10">
        <f t="shared" si="3"/>
        <v>35</v>
      </c>
      <c r="H9" s="12">
        <f t="shared" si="0"/>
        <v>315</v>
      </c>
    </row>
    <row r="10" spans="1:15" x14ac:dyDescent="0.25">
      <c r="A10" s="4">
        <v>46065</v>
      </c>
      <c r="B10" s="13" t="s">
        <v>25</v>
      </c>
      <c r="C10" s="13" t="s">
        <v>26</v>
      </c>
      <c r="D10" s="13">
        <v>5</v>
      </c>
      <c r="E10" s="12">
        <v>20</v>
      </c>
      <c r="F10" s="12">
        <f>D10*E10</f>
        <v>100</v>
      </c>
      <c r="G10" s="14">
        <f>F10*10%</f>
        <v>10</v>
      </c>
      <c r="H10" s="12">
        <f>F10-G10</f>
        <v>90</v>
      </c>
    </row>
    <row r="11" spans="1:15" x14ac:dyDescent="0.25">
      <c r="A11" s="4">
        <v>46057</v>
      </c>
      <c r="B11" s="5" t="s">
        <v>8</v>
      </c>
      <c r="C11" s="5" t="s">
        <v>13</v>
      </c>
      <c r="D11" s="5">
        <v>5</v>
      </c>
      <c r="E11" s="6">
        <v>20</v>
      </c>
      <c r="F11" s="6">
        <f t="shared" ref="F11:F19" si="4">D11*E11</f>
        <v>100</v>
      </c>
      <c r="G11" s="14">
        <f t="shared" ref="G11:G19" si="5">F11*10%</f>
        <v>10</v>
      </c>
      <c r="H11" s="6">
        <f t="shared" ref="H11:H19" si="6">F11-G11</f>
        <v>90</v>
      </c>
    </row>
    <row r="12" spans="1:15" x14ac:dyDescent="0.25">
      <c r="A12" s="4">
        <v>46058</v>
      </c>
      <c r="B12" s="5" t="s">
        <v>9</v>
      </c>
      <c r="C12" s="5" t="s">
        <v>14</v>
      </c>
      <c r="D12" s="5">
        <v>5</v>
      </c>
      <c r="E12" s="6">
        <v>20</v>
      </c>
      <c r="F12" s="6">
        <f t="shared" si="4"/>
        <v>100</v>
      </c>
      <c r="G12" s="14">
        <f t="shared" si="5"/>
        <v>10</v>
      </c>
      <c r="H12" s="6">
        <f t="shared" si="6"/>
        <v>90</v>
      </c>
    </row>
    <row r="13" spans="1:15" x14ac:dyDescent="0.25">
      <c r="A13" s="4">
        <v>46059</v>
      </c>
      <c r="B13" s="5" t="s">
        <v>10</v>
      </c>
      <c r="C13" s="5" t="s">
        <v>19</v>
      </c>
      <c r="D13" s="5">
        <v>5</v>
      </c>
      <c r="E13" s="6">
        <v>50</v>
      </c>
      <c r="F13" s="6">
        <f t="shared" si="4"/>
        <v>250</v>
      </c>
      <c r="G13" s="14">
        <f t="shared" si="5"/>
        <v>25</v>
      </c>
      <c r="H13" s="6">
        <f t="shared" si="6"/>
        <v>225</v>
      </c>
    </row>
    <row r="14" spans="1:15" x14ac:dyDescent="0.25">
      <c r="A14" s="4">
        <v>46060</v>
      </c>
      <c r="B14" s="5" t="s">
        <v>11</v>
      </c>
      <c r="C14" s="5" t="s">
        <v>15</v>
      </c>
      <c r="D14" s="5">
        <v>5</v>
      </c>
      <c r="E14" s="6">
        <v>20</v>
      </c>
      <c r="F14" s="6">
        <f t="shared" si="4"/>
        <v>100</v>
      </c>
      <c r="G14" s="14">
        <f t="shared" si="5"/>
        <v>10</v>
      </c>
      <c r="H14" s="6">
        <f t="shared" si="6"/>
        <v>90</v>
      </c>
    </row>
    <row r="15" spans="1:15" x14ac:dyDescent="0.25">
      <c r="A15" s="4">
        <v>46061</v>
      </c>
      <c r="B15" s="5" t="s">
        <v>12</v>
      </c>
      <c r="C15" s="5" t="s">
        <v>16</v>
      </c>
      <c r="D15" s="5">
        <v>5</v>
      </c>
      <c r="E15" s="6">
        <v>13</v>
      </c>
      <c r="F15" s="6">
        <f t="shared" si="4"/>
        <v>65</v>
      </c>
      <c r="G15" s="14">
        <f t="shared" si="5"/>
        <v>6.5</v>
      </c>
      <c r="H15" s="6">
        <f t="shared" si="6"/>
        <v>58.5</v>
      </c>
    </row>
    <row r="16" spans="1:15" x14ac:dyDescent="0.25">
      <c r="A16" s="4">
        <v>46062</v>
      </c>
      <c r="B16" s="5" t="s">
        <v>22</v>
      </c>
      <c r="C16" s="5" t="s">
        <v>20</v>
      </c>
      <c r="D16" s="5">
        <v>9</v>
      </c>
      <c r="E16" s="6">
        <v>50</v>
      </c>
      <c r="F16" s="6">
        <f t="shared" si="4"/>
        <v>450</v>
      </c>
      <c r="G16" s="14">
        <f t="shared" si="5"/>
        <v>45</v>
      </c>
      <c r="H16" s="6">
        <f t="shared" si="6"/>
        <v>405</v>
      </c>
    </row>
    <row r="17" spans="1:8" x14ac:dyDescent="0.25">
      <c r="A17" s="4">
        <v>46063</v>
      </c>
      <c r="B17" s="5" t="s">
        <v>23</v>
      </c>
      <c r="C17" s="5" t="s">
        <v>20</v>
      </c>
      <c r="D17" s="5">
        <v>8</v>
      </c>
      <c r="E17" s="6">
        <v>60</v>
      </c>
      <c r="F17" s="6">
        <f t="shared" si="4"/>
        <v>480</v>
      </c>
      <c r="G17" s="14">
        <f t="shared" si="5"/>
        <v>48</v>
      </c>
      <c r="H17" s="6">
        <f t="shared" si="6"/>
        <v>432</v>
      </c>
    </row>
    <row r="18" spans="1:8" x14ac:dyDescent="0.25">
      <c r="A18" s="4">
        <v>46064</v>
      </c>
      <c r="B18" s="5" t="s">
        <v>24</v>
      </c>
      <c r="C18" s="5" t="s">
        <v>20</v>
      </c>
      <c r="D18" s="5">
        <v>7</v>
      </c>
      <c r="E18" s="6">
        <v>50</v>
      </c>
      <c r="F18" s="6">
        <f t="shared" si="4"/>
        <v>350</v>
      </c>
      <c r="G18" s="14">
        <f t="shared" si="5"/>
        <v>35</v>
      </c>
      <c r="H18" s="6">
        <f t="shared" si="6"/>
        <v>315</v>
      </c>
    </row>
    <row r="19" spans="1:8" x14ac:dyDescent="0.25">
      <c r="A19" s="15">
        <v>46065</v>
      </c>
      <c r="B19" s="13" t="s">
        <v>25</v>
      </c>
      <c r="C19" s="13" t="s">
        <v>26</v>
      </c>
      <c r="D19" s="13">
        <v>5</v>
      </c>
      <c r="E19" s="12">
        <v>20</v>
      </c>
      <c r="F19" s="12">
        <f t="shared" si="4"/>
        <v>100</v>
      </c>
      <c r="G19" s="14">
        <f t="shared" si="5"/>
        <v>10</v>
      </c>
      <c r="H19" s="12">
        <f t="shared" si="6"/>
        <v>90</v>
      </c>
    </row>
    <row r="20" spans="1:8" x14ac:dyDescent="0.25">
      <c r="A20" s="4">
        <v>46057</v>
      </c>
      <c r="B20" s="5" t="s">
        <v>8</v>
      </c>
      <c r="C20" s="5" t="s">
        <v>13</v>
      </c>
      <c r="D20" s="5">
        <v>5</v>
      </c>
      <c r="E20" s="6">
        <v>20</v>
      </c>
      <c r="F20" s="6">
        <f t="shared" ref="F20:F37" si="7">D20*E20</f>
        <v>100</v>
      </c>
      <c r="G20" s="14">
        <f t="shared" ref="G20:G37" si="8">F20*10%</f>
        <v>10</v>
      </c>
      <c r="H20" s="6">
        <f t="shared" ref="H20:H37" si="9">F20-G20</f>
        <v>90</v>
      </c>
    </row>
    <row r="21" spans="1:8" x14ac:dyDescent="0.25">
      <c r="A21" s="4">
        <v>46058</v>
      </c>
      <c r="B21" s="5" t="s">
        <v>9</v>
      </c>
      <c r="C21" s="5" t="s">
        <v>14</v>
      </c>
      <c r="D21" s="5">
        <v>5</v>
      </c>
      <c r="E21" s="6">
        <v>20</v>
      </c>
      <c r="F21" s="6">
        <f t="shared" si="7"/>
        <v>100</v>
      </c>
      <c r="G21" s="14">
        <f t="shared" si="8"/>
        <v>10</v>
      </c>
      <c r="H21" s="6">
        <f t="shared" si="9"/>
        <v>90</v>
      </c>
    </row>
    <row r="22" spans="1:8" x14ac:dyDescent="0.25">
      <c r="A22" s="4">
        <v>46059</v>
      </c>
      <c r="B22" s="5" t="s">
        <v>10</v>
      </c>
      <c r="C22" s="5" t="s">
        <v>19</v>
      </c>
      <c r="D22" s="5">
        <v>5</v>
      </c>
      <c r="E22" s="6">
        <v>50</v>
      </c>
      <c r="F22" s="6">
        <f t="shared" si="7"/>
        <v>250</v>
      </c>
      <c r="G22" s="14">
        <f t="shared" si="8"/>
        <v>25</v>
      </c>
      <c r="H22" s="6">
        <f t="shared" si="9"/>
        <v>225</v>
      </c>
    </row>
    <row r="23" spans="1:8" x14ac:dyDescent="0.25">
      <c r="A23" s="4">
        <v>46060</v>
      </c>
      <c r="B23" s="5" t="s">
        <v>11</v>
      </c>
      <c r="C23" s="5" t="s">
        <v>15</v>
      </c>
      <c r="D23" s="5">
        <v>5</v>
      </c>
      <c r="E23" s="6">
        <v>20</v>
      </c>
      <c r="F23" s="6">
        <f t="shared" si="7"/>
        <v>100</v>
      </c>
      <c r="G23" s="14">
        <f t="shared" si="8"/>
        <v>10</v>
      </c>
      <c r="H23" s="6">
        <f t="shared" si="9"/>
        <v>90</v>
      </c>
    </row>
    <row r="24" spans="1:8" x14ac:dyDescent="0.25">
      <c r="A24" s="4">
        <v>46061</v>
      </c>
      <c r="B24" s="5" t="s">
        <v>12</v>
      </c>
      <c r="C24" s="5" t="s">
        <v>16</v>
      </c>
      <c r="D24" s="5">
        <v>5</v>
      </c>
      <c r="E24" s="6">
        <v>13</v>
      </c>
      <c r="F24" s="6">
        <f t="shared" si="7"/>
        <v>65</v>
      </c>
      <c r="G24" s="14">
        <f t="shared" si="8"/>
        <v>6.5</v>
      </c>
      <c r="H24" s="6">
        <f t="shared" si="9"/>
        <v>58.5</v>
      </c>
    </row>
    <row r="25" spans="1:8" x14ac:dyDescent="0.25">
      <c r="A25" s="4">
        <v>46062</v>
      </c>
      <c r="B25" s="5" t="s">
        <v>22</v>
      </c>
      <c r="C25" s="5" t="s">
        <v>20</v>
      </c>
      <c r="D25" s="5">
        <v>9</v>
      </c>
      <c r="E25" s="6">
        <v>50</v>
      </c>
      <c r="F25" s="6">
        <f t="shared" si="7"/>
        <v>450</v>
      </c>
      <c r="G25" s="14">
        <f t="shared" si="8"/>
        <v>45</v>
      </c>
      <c r="H25" s="6">
        <f t="shared" si="9"/>
        <v>405</v>
      </c>
    </row>
    <row r="26" spans="1:8" x14ac:dyDescent="0.25">
      <c r="A26" s="4">
        <v>46063</v>
      </c>
      <c r="B26" s="5" t="s">
        <v>23</v>
      </c>
      <c r="C26" s="5" t="s">
        <v>20</v>
      </c>
      <c r="D26" s="5">
        <v>8</v>
      </c>
      <c r="E26" s="6">
        <v>60</v>
      </c>
      <c r="F26" s="6">
        <f t="shared" si="7"/>
        <v>480</v>
      </c>
      <c r="G26" s="14">
        <f t="shared" si="8"/>
        <v>48</v>
      </c>
      <c r="H26" s="6">
        <f t="shared" si="9"/>
        <v>432</v>
      </c>
    </row>
    <row r="27" spans="1:8" x14ac:dyDescent="0.25">
      <c r="A27" s="4">
        <v>46064</v>
      </c>
      <c r="B27" s="5" t="s">
        <v>24</v>
      </c>
      <c r="C27" s="5" t="s">
        <v>20</v>
      </c>
      <c r="D27" s="5">
        <v>7</v>
      </c>
      <c r="E27" s="6">
        <v>50</v>
      </c>
      <c r="F27" s="6">
        <f t="shared" si="7"/>
        <v>350</v>
      </c>
      <c r="G27" s="14">
        <f t="shared" si="8"/>
        <v>35</v>
      </c>
      <c r="H27" s="6">
        <f t="shared" si="9"/>
        <v>315</v>
      </c>
    </row>
    <row r="28" spans="1:8" x14ac:dyDescent="0.25">
      <c r="A28" s="4">
        <v>46065</v>
      </c>
      <c r="B28" s="5" t="s">
        <v>25</v>
      </c>
      <c r="C28" s="5" t="s">
        <v>26</v>
      </c>
      <c r="D28" s="5">
        <v>5</v>
      </c>
      <c r="E28" s="6">
        <v>20</v>
      </c>
      <c r="F28" s="6">
        <f t="shared" si="7"/>
        <v>100</v>
      </c>
      <c r="G28" s="14">
        <f t="shared" si="8"/>
        <v>10</v>
      </c>
      <c r="H28" s="6">
        <f t="shared" si="9"/>
        <v>90</v>
      </c>
    </row>
    <row r="29" spans="1:8" x14ac:dyDescent="0.25">
      <c r="A29" s="4">
        <v>46057</v>
      </c>
      <c r="B29" s="5" t="s">
        <v>8</v>
      </c>
      <c r="C29" s="5" t="s">
        <v>13</v>
      </c>
      <c r="D29" s="5">
        <v>5</v>
      </c>
      <c r="E29" s="6">
        <v>20</v>
      </c>
      <c r="F29" s="6">
        <f t="shared" si="7"/>
        <v>100</v>
      </c>
      <c r="G29" s="14">
        <f t="shared" si="8"/>
        <v>10</v>
      </c>
      <c r="H29" s="6">
        <f t="shared" si="9"/>
        <v>90</v>
      </c>
    </row>
    <row r="30" spans="1:8" x14ac:dyDescent="0.25">
      <c r="A30" s="4">
        <v>46058</v>
      </c>
      <c r="B30" s="5" t="s">
        <v>9</v>
      </c>
      <c r="C30" s="5" t="s">
        <v>14</v>
      </c>
      <c r="D30" s="5">
        <v>5</v>
      </c>
      <c r="E30" s="6">
        <v>20</v>
      </c>
      <c r="F30" s="6">
        <f t="shared" si="7"/>
        <v>100</v>
      </c>
      <c r="G30" s="14">
        <f t="shared" si="8"/>
        <v>10</v>
      </c>
      <c r="H30" s="6">
        <f t="shared" si="9"/>
        <v>90</v>
      </c>
    </row>
    <row r="31" spans="1:8" x14ac:dyDescent="0.25">
      <c r="A31" s="4">
        <v>46059</v>
      </c>
      <c r="B31" s="5" t="s">
        <v>10</v>
      </c>
      <c r="C31" s="5" t="s">
        <v>19</v>
      </c>
      <c r="D31" s="5">
        <v>5</v>
      </c>
      <c r="E31" s="6">
        <v>50</v>
      </c>
      <c r="F31" s="6">
        <f t="shared" si="7"/>
        <v>250</v>
      </c>
      <c r="G31" s="14">
        <f t="shared" si="8"/>
        <v>25</v>
      </c>
      <c r="H31" s="6">
        <f t="shared" si="9"/>
        <v>225</v>
      </c>
    </row>
    <row r="32" spans="1:8" x14ac:dyDescent="0.25">
      <c r="A32" s="4">
        <v>46060</v>
      </c>
      <c r="B32" s="5" t="s">
        <v>11</v>
      </c>
      <c r="C32" s="5" t="s">
        <v>15</v>
      </c>
      <c r="D32" s="5">
        <v>5</v>
      </c>
      <c r="E32" s="6">
        <v>20</v>
      </c>
      <c r="F32" s="6">
        <f t="shared" si="7"/>
        <v>100</v>
      </c>
      <c r="G32" s="14">
        <f t="shared" si="8"/>
        <v>10</v>
      </c>
      <c r="H32" s="6">
        <f t="shared" si="9"/>
        <v>90</v>
      </c>
    </row>
    <row r="33" spans="1:8" x14ac:dyDescent="0.25">
      <c r="A33" s="4">
        <v>46061</v>
      </c>
      <c r="B33" s="5" t="s">
        <v>12</v>
      </c>
      <c r="C33" s="5" t="s">
        <v>16</v>
      </c>
      <c r="D33" s="5">
        <v>5</v>
      </c>
      <c r="E33" s="6">
        <v>13</v>
      </c>
      <c r="F33" s="6">
        <f t="shared" si="7"/>
        <v>65</v>
      </c>
      <c r="G33" s="14">
        <f t="shared" si="8"/>
        <v>6.5</v>
      </c>
      <c r="H33" s="6">
        <f t="shared" si="9"/>
        <v>58.5</v>
      </c>
    </row>
    <row r="34" spans="1:8" x14ac:dyDescent="0.25">
      <c r="A34" s="4">
        <v>46062</v>
      </c>
      <c r="B34" s="5" t="s">
        <v>22</v>
      </c>
      <c r="C34" s="5" t="s">
        <v>20</v>
      </c>
      <c r="D34" s="5">
        <v>9</v>
      </c>
      <c r="E34" s="6">
        <v>50</v>
      </c>
      <c r="F34" s="6">
        <f t="shared" si="7"/>
        <v>450</v>
      </c>
      <c r="G34" s="14">
        <f t="shared" si="8"/>
        <v>45</v>
      </c>
      <c r="H34" s="6">
        <f t="shared" si="9"/>
        <v>405</v>
      </c>
    </row>
    <row r="35" spans="1:8" x14ac:dyDescent="0.25">
      <c r="A35" s="4">
        <v>46063</v>
      </c>
      <c r="B35" s="5" t="s">
        <v>23</v>
      </c>
      <c r="C35" s="5" t="s">
        <v>20</v>
      </c>
      <c r="D35" s="5">
        <v>8</v>
      </c>
      <c r="E35" s="6">
        <v>60</v>
      </c>
      <c r="F35" s="6">
        <f t="shared" si="7"/>
        <v>480</v>
      </c>
      <c r="G35" s="14">
        <f t="shared" si="8"/>
        <v>48</v>
      </c>
      <c r="H35" s="6">
        <f t="shared" si="9"/>
        <v>432</v>
      </c>
    </row>
    <row r="36" spans="1:8" x14ac:dyDescent="0.25">
      <c r="A36" s="4">
        <v>46064</v>
      </c>
      <c r="B36" s="5" t="s">
        <v>24</v>
      </c>
      <c r="C36" s="5" t="s">
        <v>20</v>
      </c>
      <c r="D36" s="5">
        <v>7</v>
      </c>
      <c r="E36" s="6">
        <v>50</v>
      </c>
      <c r="F36" s="6">
        <f t="shared" si="7"/>
        <v>350</v>
      </c>
      <c r="G36" s="14">
        <f t="shared" si="8"/>
        <v>35</v>
      </c>
      <c r="H36" s="6">
        <f t="shared" si="9"/>
        <v>315</v>
      </c>
    </row>
    <row r="37" spans="1:8" x14ac:dyDescent="0.25">
      <c r="A37" s="15">
        <v>46065</v>
      </c>
      <c r="B37" s="13" t="s">
        <v>25</v>
      </c>
      <c r="C37" s="13" t="s">
        <v>26</v>
      </c>
      <c r="D37" s="13">
        <v>5</v>
      </c>
      <c r="E37" s="12">
        <v>20</v>
      </c>
      <c r="F37" s="12">
        <f t="shared" si="7"/>
        <v>100</v>
      </c>
      <c r="G37" s="14">
        <f t="shared" si="8"/>
        <v>10</v>
      </c>
      <c r="H37" s="12">
        <f t="shared" si="9"/>
        <v>90</v>
      </c>
    </row>
    <row r="38" spans="1:8" x14ac:dyDescent="0.25">
      <c r="A38" s="4">
        <v>46062</v>
      </c>
      <c r="B38" s="5" t="s">
        <v>22</v>
      </c>
      <c r="C38" s="5" t="s">
        <v>20</v>
      </c>
      <c r="D38" s="5">
        <v>9</v>
      </c>
      <c r="E38" s="6">
        <v>50</v>
      </c>
      <c r="F38" s="6">
        <f t="shared" ref="F38:F50" si="10">D38*E38</f>
        <v>450</v>
      </c>
      <c r="G38" s="14">
        <f t="shared" ref="G38:G50" si="11">F38*10%</f>
        <v>45</v>
      </c>
      <c r="H38" s="6">
        <f t="shared" ref="H38:H50" si="12">F38-G38</f>
        <v>405</v>
      </c>
    </row>
    <row r="39" spans="1:8" x14ac:dyDescent="0.25">
      <c r="A39" s="4">
        <v>46063</v>
      </c>
      <c r="B39" s="5" t="s">
        <v>23</v>
      </c>
      <c r="C39" s="5" t="s">
        <v>20</v>
      </c>
      <c r="D39" s="5">
        <v>8</v>
      </c>
      <c r="E39" s="6">
        <v>60</v>
      </c>
      <c r="F39" s="6">
        <f t="shared" si="10"/>
        <v>480</v>
      </c>
      <c r="G39" s="14">
        <f t="shared" si="11"/>
        <v>48</v>
      </c>
      <c r="H39" s="6">
        <f t="shared" si="12"/>
        <v>432</v>
      </c>
    </row>
    <row r="40" spans="1:8" x14ac:dyDescent="0.25">
      <c r="A40" s="4">
        <v>46064</v>
      </c>
      <c r="B40" s="5" t="s">
        <v>24</v>
      </c>
      <c r="C40" s="5" t="s">
        <v>20</v>
      </c>
      <c r="D40" s="5">
        <v>7</v>
      </c>
      <c r="E40" s="6">
        <v>50</v>
      </c>
      <c r="F40" s="6">
        <f t="shared" si="10"/>
        <v>350</v>
      </c>
      <c r="G40" s="14">
        <f t="shared" si="11"/>
        <v>35</v>
      </c>
      <c r="H40" s="6">
        <f t="shared" si="12"/>
        <v>315</v>
      </c>
    </row>
    <row r="41" spans="1:8" x14ac:dyDescent="0.25">
      <c r="A41" s="4">
        <v>46065</v>
      </c>
      <c r="B41" s="5" t="s">
        <v>25</v>
      </c>
      <c r="C41" s="5" t="s">
        <v>26</v>
      </c>
      <c r="D41" s="5">
        <v>5</v>
      </c>
      <c r="E41" s="6">
        <v>20</v>
      </c>
      <c r="F41" s="6">
        <f t="shared" si="10"/>
        <v>100</v>
      </c>
      <c r="G41" s="14">
        <f t="shared" si="11"/>
        <v>10</v>
      </c>
      <c r="H41" s="6">
        <f t="shared" si="12"/>
        <v>90</v>
      </c>
    </row>
    <row r="42" spans="1:8" x14ac:dyDescent="0.25">
      <c r="A42" s="4">
        <v>46057</v>
      </c>
      <c r="B42" s="5" t="s">
        <v>8</v>
      </c>
      <c r="C42" s="5" t="s">
        <v>13</v>
      </c>
      <c r="D42" s="5">
        <v>5</v>
      </c>
      <c r="E42" s="6">
        <v>20</v>
      </c>
      <c r="F42" s="6">
        <f t="shared" si="10"/>
        <v>100</v>
      </c>
      <c r="G42" s="14">
        <f t="shared" si="11"/>
        <v>10</v>
      </c>
      <c r="H42" s="6">
        <f t="shared" si="12"/>
        <v>90</v>
      </c>
    </row>
    <row r="43" spans="1:8" x14ac:dyDescent="0.25">
      <c r="A43" s="4">
        <v>46058</v>
      </c>
      <c r="B43" s="5" t="s">
        <v>9</v>
      </c>
      <c r="C43" s="5" t="s">
        <v>14</v>
      </c>
      <c r="D43" s="5">
        <v>5</v>
      </c>
      <c r="E43" s="6">
        <v>20</v>
      </c>
      <c r="F43" s="6">
        <f t="shared" si="10"/>
        <v>100</v>
      </c>
      <c r="G43" s="14">
        <f t="shared" si="11"/>
        <v>10</v>
      </c>
      <c r="H43" s="6">
        <f t="shared" si="12"/>
        <v>90</v>
      </c>
    </row>
    <row r="44" spans="1:8" x14ac:dyDescent="0.25">
      <c r="A44" s="4">
        <v>46059</v>
      </c>
      <c r="B44" s="5" t="s">
        <v>10</v>
      </c>
      <c r="C44" s="5" t="s">
        <v>19</v>
      </c>
      <c r="D44" s="5">
        <v>5</v>
      </c>
      <c r="E44" s="6">
        <v>50</v>
      </c>
      <c r="F44" s="6">
        <f t="shared" si="10"/>
        <v>250</v>
      </c>
      <c r="G44" s="14">
        <f t="shared" si="11"/>
        <v>25</v>
      </c>
      <c r="H44" s="6">
        <f t="shared" si="12"/>
        <v>225</v>
      </c>
    </row>
    <row r="45" spans="1:8" x14ac:dyDescent="0.25">
      <c r="A45" s="4">
        <v>46060</v>
      </c>
      <c r="B45" s="5" t="s">
        <v>11</v>
      </c>
      <c r="C45" s="5" t="s">
        <v>15</v>
      </c>
      <c r="D45" s="5">
        <v>5</v>
      </c>
      <c r="E45" s="6">
        <v>20</v>
      </c>
      <c r="F45" s="6">
        <f t="shared" si="10"/>
        <v>100</v>
      </c>
      <c r="G45" s="14">
        <f t="shared" si="11"/>
        <v>10</v>
      </c>
      <c r="H45" s="6">
        <f t="shared" si="12"/>
        <v>90</v>
      </c>
    </row>
    <row r="46" spans="1:8" x14ac:dyDescent="0.25">
      <c r="A46" s="4">
        <v>46061</v>
      </c>
      <c r="B46" s="5" t="s">
        <v>12</v>
      </c>
      <c r="C46" s="5" t="s">
        <v>16</v>
      </c>
      <c r="D46" s="5">
        <v>5</v>
      </c>
      <c r="E46" s="6">
        <v>13</v>
      </c>
      <c r="F46" s="6">
        <f t="shared" si="10"/>
        <v>65</v>
      </c>
      <c r="G46" s="14">
        <f t="shared" si="11"/>
        <v>6.5</v>
      </c>
      <c r="H46" s="6">
        <f t="shared" si="12"/>
        <v>58.5</v>
      </c>
    </row>
    <row r="47" spans="1:8" x14ac:dyDescent="0.25">
      <c r="A47" s="4">
        <v>46062</v>
      </c>
      <c r="B47" s="5" t="s">
        <v>22</v>
      </c>
      <c r="C47" s="5" t="s">
        <v>20</v>
      </c>
      <c r="D47" s="5">
        <v>9</v>
      </c>
      <c r="E47" s="6">
        <v>50</v>
      </c>
      <c r="F47" s="6">
        <f t="shared" si="10"/>
        <v>450</v>
      </c>
      <c r="G47" s="14">
        <f t="shared" si="11"/>
        <v>45</v>
      </c>
      <c r="H47" s="6">
        <f t="shared" si="12"/>
        <v>405</v>
      </c>
    </row>
    <row r="48" spans="1:8" x14ac:dyDescent="0.25">
      <c r="A48" s="4">
        <v>46063</v>
      </c>
      <c r="B48" s="5" t="s">
        <v>23</v>
      </c>
      <c r="C48" s="5" t="s">
        <v>20</v>
      </c>
      <c r="D48" s="5">
        <v>8</v>
      </c>
      <c r="E48" s="6">
        <v>60</v>
      </c>
      <c r="F48" s="6">
        <f t="shared" si="10"/>
        <v>480</v>
      </c>
      <c r="G48" s="14">
        <f t="shared" si="11"/>
        <v>48</v>
      </c>
      <c r="H48" s="6">
        <f t="shared" si="12"/>
        <v>432</v>
      </c>
    </row>
    <row r="49" spans="1:8" x14ac:dyDescent="0.25">
      <c r="A49" s="4">
        <v>46064</v>
      </c>
      <c r="B49" s="5" t="s">
        <v>24</v>
      </c>
      <c r="C49" s="5" t="s">
        <v>20</v>
      </c>
      <c r="D49" s="5">
        <v>7</v>
      </c>
      <c r="E49" s="6">
        <v>50</v>
      </c>
      <c r="F49" s="6">
        <f t="shared" si="10"/>
        <v>350</v>
      </c>
      <c r="G49" s="14">
        <f t="shared" si="11"/>
        <v>35</v>
      </c>
      <c r="H49" s="6">
        <f t="shared" si="12"/>
        <v>315</v>
      </c>
    </row>
    <row r="50" spans="1:8" x14ac:dyDescent="0.25">
      <c r="A50" s="15">
        <v>46065</v>
      </c>
      <c r="B50" s="13" t="s">
        <v>25</v>
      </c>
      <c r="C50" s="13" t="s">
        <v>26</v>
      </c>
      <c r="D50" s="13">
        <v>5</v>
      </c>
      <c r="E50" s="12">
        <v>20</v>
      </c>
      <c r="F50" s="12">
        <f t="shared" si="10"/>
        <v>100</v>
      </c>
      <c r="G50" s="14">
        <f t="shared" si="11"/>
        <v>10</v>
      </c>
      <c r="H50" s="12">
        <f t="shared" si="12"/>
        <v>90</v>
      </c>
    </row>
    <row r="51" spans="1:8" x14ac:dyDescent="0.25">
      <c r="A51" s="15">
        <v>46066</v>
      </c>
      <c r="B51" s="13" t="s">
        <v>30</v>
      </c>
      <c r="C51" s="13" t="s">
        <v>31</v>
      </c>
      <c r="D51" s="13"/>
      <c r="E51" s="12"/>
      <c r="F51" s="12">
        <v>5000</v>
      </c>
      <c r="G51" s="14">
        <f>F51*10%</f>
        <v>500</v>
      </c>
      <c r="H51" s="12">
        <f>F51-G51</f>
        <v>4500</v>
      </c>
    </row>
  </sheetData>
  <sheetProtection autoFilter="0" pivotTables="0"/>
  <phoneticPr fontId="6" type="noConversion"/>
  <pageMargins left="0.7" right="0.7" top="0.75" bottom="0.75" header="0.3" footer="0.3"/>
  <pageSetup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Template/>
  <TotalTime>46</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Nile_Sale</vt:lpstr>
      <vt:lpstr>Sheet2!Print_Area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mohammed khedir</cp:lastModifiedBy>
  <cp:revision>4</cp:revision>
  <cp:lastPrinted>2026-02-08T07:39:44Z</cp:lastPrinted>
  <dcterms:created xsi:type="dcterms:W3CDTF">2026-02-02T08:14:43Z</dcterms:created>
  <dcterms:modified xsi:type="dcterms:W3CDTF">2026-02-09T06:58:34Z</dcterms:modified>
  <dc:language>en-US</dc:language>
</cp:coreProperties>
</file>